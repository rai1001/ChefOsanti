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mc:AlternateContent xmlns:mc="http://schemas.openxmlformats.org/markup-compatibility/2006">
    <mc:Choice Requires="x15">
      <x15ac:absPath xmlns:x15ac="http://schemas.microsoft.com/office/spreadsheetml/2010/11/ac" url="C:\Users\283back03\OneDrive - GRUPO HOTUSA\Escritorio\PLANNINGS EVENTOS\"/>
    </mc:Choice>
  </mc:AlternateContent>
  <xr:revisionPtr revIDLastSave="0" documentId="8_{3E346344-09C0-4E62-9A79-8DD67AEEBB1E}" xr6:coauthVersionLast="47" xr6:coauthVersionMax="47" xr10:uidLastSave="{00000000-0000-0000-0000-000000000000}"/>
  <bookViews>
    <workbookView xWindow="-120" yWindow="-120" windowWidth="29040" windowHeight="15840" tabRatio="609" firstSheet="3" activeTab="3" xr2:uid="{00000000-000D-0000-FFFF-FFFF00000000}"/>
  </bookViews>
  <sheets>
    <sheet name="2025-ENERO.MARZO" sheetId="1" r:id="rId1"/>
    <sheet name="2025-ABRIL.JUNIO" sheetId="2" r:id="rId2"/>
    <sheet name="2025-JULIO.SEPTIEMBRE" sheetId="3" r:id="rId3"/>
    <sheet name="2025-OCTUBRE.DICIEMBRE" sheetId="4" r:id="rId4"/>
    <sheet name="2026-Enero.Marzo" sheetId="5" r:id="rId5"/>
    <sheet name="2026-Abril.Junio" sheetId="6" r:id="rId6"/>
    <sheet name="2026-Julio.Septiembre" sheetId="7" r:id="rId7"/>
    <sheet name="2026-Octubre.Diciembre" sheetId="8" r:id="rId8"/>
    <sheet name="ALOJAMIENTO COMP. 2026" sheetId="9" r:id="rId9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2" i="5" l="1"/>
  <c r="G137" i="5"/>
  <c r="G110" i="5"/>
  <c r="H103" i="9"/>
  <c r="H102" i="9"/>
  <c r="H101" i="9"/>
  <c r="H100" i="9"/>
  <c r="H99" i="9"/>
  <c r="H98" i="9"/>
  <c r="H97" i="9"/>
  <c r="D103" i="9"/>
  <c r="D102" i="9"/>
  <c r="D101" i="9"/>
  <c r="D100" i="9"/>
  <c r="D99" i="9"/>
  <c r="D98" i="9"/>
  <c r="D97" i="9"/>
  <c r="K77" i="9"/>
  <c r="K76" i="9"/>
  <c r="K75" i="9"/>
  <c r="K74" i="9"/>
  <c r="K73" i="9"/>
  <c r="K72" i="9"/>
  <c r="K71" i="9"/>
  <c r="G77" i="9"/>
  <c r="G71" i="9"/>
  <c r="G72" i="9"/>
  <c r="G73" i="9"/>
  <c r="G74" i="9"/>
  <c r="G75" i="9"/>
  <c r="G76" i="9"/>
  <c r="D167" i="7"/>
  <c r="D144" i="7"/>
  <c r="D120" i="7"/>
  <c r="G161" i="7"/>
  <c r="F161" i="7"/>
  <c r="E161" i="7"/>
  <c r="D161" i="7"/>
  <c r="C161" i="7"/>
  <c r="G138" i="7"/>
  <c r="F138" i="7"/>
  <c r="E138" i="7"/>
  <c r="D138" i="7"/>
  <c r="C138" i="7"/>
  <c r="G114" i="7"/>
  <c r="F114" i="7"/>
  <c r="E114" i="7"/>
  <c r="D114" i="7"/>
  <c r="C114" i="7"/>
  <c r="C79" i="9"/>
  <c r="C78" i="9"/>
  <c r="C77" i="9"/>
  <c r="C76" i="9"/>
  <c r="C75" i="9"/>
  <c r="C74" i="9"/>
  <c r="C73" i="9"/>
  <c r="L52" i="9"/>
  <c r="L51" i="9"/>
  <c r="L50" i="9"/>
  <c r="L49" i="9"/>
  <c r="L48" i="9"/>
  <c r="L47" i="9"/>
  <c r="L46" i="9"/>
  <c r="H51" i="9"/>
  <c r="D53" i="9"/>
  <c r="H50" i="9"/>
  <c r="H49" i="9"/>
  <c r="H48" i="9"/>
  <c r="H47" i="9"/>
  <c r="H46" i="9"/>
  <c r="H45" i="9"/>
  <c r="D52" i="9"/>
  <c r="D51" i="9"/>
  <c r="D50" i="9"/>
  <c r="D49" i="9"/>
  <c r="D48" i="9"/>
  <c r="D47" i="9"/>
  <c r="L20" i="9"/>
  <c r="H22" i="9"/>
  <c r="D24" i="9"/>
  <c r="L19" i="9"/>
  <c r="L18" i="9"/>
  <c r="L17" i="9"/>
  <c r="L16" i="9"/>
  <c r="L15" i="9"/>
  <c r="L14" i="9"/>
  <c r="H21" i="9"/>
  <c r="H20" i="9"/>
  <c r="H19" i="9"/>
  <c r="H18" i="9"/>
  <c r="H17" i="9"/>
  <c r="H16" i="9"/>
  <c r="D23" i="9"/>
  <c r="D22" i="9"/>
  <c r="D21" i="9"/>
  <c r="D20" i="9"/>
  <c r="D19" i="9"/>
  <c r="D18" i="9"/>
  <c r="D166" i="6"/>
  <c r="D143" i="6"/>
  <c r="D120" i="6"/>
  <c r="G160" i="6"/>
  <c r="D165" i="6" s="1"/>
  <c r="F160" i="6"/>
  <c r="E160" i="6"/>
  <c r="D160" i="6"/>
  <c r="D139" i="6"/>
  <c r="G137" i="6"/>
  <c r="F137" i="6"/>
  <c r="E137" i="6"/>
  <c r="D141" i="6" s="1"/>
  <c r="D137" i="6"/>
  <c r="D140" i="6" s="1"/>
  <c r="G114" i="6"/>
  <c r="F114" i="6"/>
  <c r="E114" i="6"/>
  <c r="D118" i="6" s="1"/>
  <c r="D114" i="6"/>
  <c r="F162" i="5"/>
  <c r="E162" i="5"/>
  <c r="D162" i="5"/>
  <c r="C162" i="5"/>
  <c r="F137" i="5"/>
  <c r="E137" i="5"/>
  <c r="D137" i="5"/>
  <c r="C137" i="5"/>
  <c r="F110" i="5"/>
  <c r="E110" i="5"/>
  <c r="D110" i="5"/>
  <c r="C110" i="5"/>
  <c r="J112" i="1"/>
  <c r="J111" i="1"/>
  <c r="K160" i="4"/>
  <c r="K159" i="4"/>
  <c r="K158" i="4"/>
  <c r="K157" i="4"/>
  <c r="K156" i="4"/>
  <c r="K155" i="4"/>
  <c r="G157" i="4"/>
  <c r="F157" i="4"/>
  <c r="E157" i="4"/>
  <c r="D157" i="4"/>
  <c r="K138" i="4"/>
  <c r="K137" i="4"/>
  <c r="K136" i="4"/>
  <c r="K135" i="4"/>
  <c r="K134" i="4"/>
  <c r="K133" i="4"/>
  <c r="G135" i="4"/>
  <c r="F135" i="4"/>
  <c r="E135" i="4"/>
  <c r="D135" i="4"/>
  <c r="K116" i="4"/>
  <c r="K115" i="4"/>
  <c r="K114" i="4"/>
  <c r="K113" i="4"/>
  <c r="K112" i="4"/>
  <c r="K111" i="4"/>
  <c r="G113" i="4"/>
  <c r="D115" i="4" s="1"/>
  <c r="F113" i="4"/>
  <c r="E113" i="4"/>
  <c r="D113" i="4"/>
  <c r="J163" i="3"/>
  <c r="J162" i="3"/>
  <c r="J161" i="3"/>
  <c r="J160" i="3"/>
  <c r="J159" i="3"/>
  <c r="J158" i="3"/>
  <c r="G160" i="3"/>
  <c r="F160" i="3"/>
  <c r="E160" i="3"/>
  <c r="D160" i="3"/>
  <c r="C160" i="3"/>
  <c r="J140" i="3"/>
  <c r="J139" i="3"/>
  <c r="J138" i="3"/>
  <c r="J137" i="3"/>
  <c r="J136" i="3"/>
  <c r="J135" i="3"/>
  <c r="G137" i="3"/>
  <c r="F137" i="3"/>
  <c r="E137" i="3"/>
  <c r="D137" i="3"/>
  <c r="C137" i="3"/>
  <c r="J120" i="3"/>
  <c r="J119" i="3"/>
  <c r="J118" i="3"/>
  <c r="J117" i="3"/>
  <c r="J116" i="3"/>
  <c r="J115" i="3"/>
  <c r="G113" i="3"/>
  <c r="F113" i="3"/>
  <c r="E113" i="3"/>
  <c r="D113" i="3"/>
  <c r="C113" i="3"/>
  <c r="K139" i="2"/>
  <c r="K138" i="2"/>
  <c r="K137" i="2"/>
  <c r="K136" i="2"/>
  <c r="K135" i="2"/>
  <c r="K134" i="2"/>
  <c r="K165" i="2"/>
  <c r="K164" i="2"/>
  <c r="K163" i="2"/>
  <c r="K162" i="2"/>
  <c r="K161" i="2"/>
  <c r="K160" i="2"/>
  <c r="G157" i="2"/>
  <c r="D162" i="2" s="1"/>
  <c r="F157" i="2"/>
  <c r="E157" i="2"/>
  <c r="D157" i="2"/>
  <c r="G134" i="2"/>
  <c r="D137" i="2" s="1"/>
  <c r="F134" i="2"/>
  <c r="E134" i="2"/>
  <c r="D134" i="2"/>
  <c r="K117" i="2"/>
  <c r="K116" i="2"/>
  <c r="K115" i="2"/>
  <c r="K114" i="2"/>
  <c r="K113" i="2"/>
  <c r="K112" i="2"/>
  <c r="G112" i="2"/>
  <c r="D115" i="2" s="1"/>
  <c r="F112" i="2"/>
  <c r="E112" i="2"/>
  <c r="D112" i="2"/>
  <c r="F163" i="1"/>
  <c r="D168" i="1" s="1"/>
  <c r="F138" i="1"/>
  <c r="D142" i="1" s="1"/>
  <c r="J140" i="1"/>
  <c r="J113" i="1"/>
  <c r="E163" i="1"/>
  <c r="D163" i="1"/>
  <c r="C163" i="1"/>
  <c r="J158" i="1"/>
  <c r="J159" i="1"/>
  <c r="J160" i="1"/>
  <c r="J161" i="1"/>
  <c r="J162" i="1"/>
  <c r="J163" i="1"/>
  <c r="J139" i="1"/>
  <c r="J138" i="1"/>
  <c r="J137" i="1"/>
  <c r="J136" i="1"/>
  <c r="J135" i="1"/>
  <c r="E138" i="1"/>
  <c r="D143" i="1" s="1"/>
  <c r="D138" i="1"/>
  <c r="C138" i="1"/>
  <c r="J110" i="1"/>
  <c r="J109" i="1"/>
  <c r="J108" i="1"/>
  <c r="F111" i="1"/>
  <c r="D116" i="1" s="1"/>
  <c r="E111" i="1"/>
  <c r="D111" i="1"/>
  <c r="C111" i="1"/>
  <c r="D115" i="5" l="1"/>
  <c r="D116" i="5"/>
  <c r="D113" i="5"/>
  <c r="D142" i="5"/>
  <c r="D143" i="5"/>
  <c r="D140" i="5"/>
  <c r="D167" i="5"/>
  <c r="D168" i="5"/>
  <c r="D119" i="7"/>
  <c r="D118" i="7"/>
  <c r="D117" i="7"/>
  <c r="D116" i="7"/>
  <c r="D143" i="7"/>
  <c r="D142" i="7"/>
  <c r="D141" i="7"/>
  <c r="D140" i="7"/>
  <c r="D166" i="7"/>
  <c r="D165" i="7"/>
  <c r="D164" i="7"/>
  <c r="D163" i="7"/>
  <c r="D139" i="4"/>
  <c r="D162" i="4"/>
  <c r="D161" i="4"/>
  <c r="D160" i="4"/>
  <c r="D159" i="4"/>
  <c r="D163" i="6"/>
  <c r="D119" i="6"/>
  <c r="D117" i="6"/>
  <c r="D116" i="6"/>
  <c r="D142" i="6"/>
  <c r="D162" i="6"/>
  <c r="D164" i="6"/>
  <c r="D112" i="5"/>
  <c r="D139" i="5"/>
  <c r="D164" i="5"/>
  <c r="D165" i="5"/>
  <c r="D114" i="5"/>
  <c r="D141" i="5"/>
  <c r="D166" i="5"/>
  <c r="D117" i="4"/>
  <c r="D116" i="4"/>
  <c r="D165" i="3"/>
  <c r="D140" i="3"/>
  <c r="D115" i="3"/>
  <c r="D164" i="3"/>
  <c r="D162" i="3"/>
  <c r="D163" i="3"/>
  <c r="D139" i="3"/>
  <c r="D141" i="3"/>
  <c r="D117" i="3"/>
  <c r="D116" i="3"/>
  <c r="D159" i="2"/>
  <c r="D160" i="2"/>
  <c r="D161" i="2"/>
  <c r="D138" i="2"/>
  <c r="D139" i="2"/>
  <c r="D136" i="2"/>
  <c r="D116" i="2"/>
  <c r="D140" i="1"/>
  <c r="D166" i="1"/>
  <c r="D165" i="1"/>
  <c r="D167" i="1"/>
  <c r="D140" i="4"/>
  <c r="D137" i="4"/>
  <c r="D118" i="4"/>
  <c r="D138" i="4"/>
  <c r="D142" i="3"/>
  <c r="D118" i="3"/>
  <c r="D117" i="2"/>
  <c r="D114" i="2"/>
  <c r="D141" i="1"/>
  <c r="D114" i="1"/>
  <c r="D113" i="1"/>
  <c r="D115" i="1"/>
</calcChain>
</file>

<file path=xl/sharedStrings.xml><?xml version="1.0" encoding="utf-8"?>
<sst xmlns="http://schemas.openxmlformats.org/spreadsheetml/2006/main" count="2047" uniqueCount="509">
  <si>
    <t>ENERO</t>
  </si>
  <si>
    <t>ROSALIA</t>
  </si>
  <si>
    <t>PONDAL</t>
  </si>
  <si>
    <t>CASTELAO</t>
  </si>
  <si>
    <t>CURROS</t>
  </si>
  <si>
    <t>CUNQUEIRO</t>
  </si>
  <si>
    <t>HALL</t>
  </si>
  <si>
    <t>RESTAURANTE</t>
  </si>
  <si>
    <t>BAR</t>
  </si>
  <si>
    <t> </t>
  </si>
  <si>
    <t>FESTIVO</t>
  </si>
  <si>
    <t>FESTIVO BUFFET y CIERRE</t>
  </si>
  <si>
    <t>REUNIÓN SR. BARRAN                "U" 6 PAX + COFFEE</t>
  </si>
  <si>
    <t>TERUMO</t>
  </si>
  <si>
    <t>GENESAL ENERGY        TEAM BUILDING</t>
  </si>
  <si>
    <t>GENESAL ENERGY                  COCKTAIL COMIDA</t>
  </si>
  <si>
    <t>UNIVERSIDAD FCO. VITORIA</t>
  </si>
  <si>
    <t>GENESAL ENERGY  COFFEE-BREAK</t>
  </si>
  <si>
    <t>STOLT SEA FARM  TEAM BUILDING</t>
  </si>
  <si>
    <t>STOLT SEA FARM                     COCKTAIL 14'30 HRS.</t>
  </si>
  <si>
    <t>STOLT SEA FARM  COFFEE-BREAK</t>
  </si>
  <si>
    <t>JOHNSON &amp; JOHNSON</t>
  </si>
  <si>
    <t>BNG/50 PAX "TEATRO"</t>
  </si>
  <si>
    <t>FOTOCASA</t>
  </si>
  <si>
    <t>COFFEE-BREAK FOTOCASA</t>
  </si>
  <si>
    <t>REUNION URIACH 3 PAX</t>
  </si>
  <si>
    <t>LEVANTE UD</t>
  </si>
  <si>
    <t>CENA GRUPO HOTUSA/43 PAX</t>
  </si>
  <si>
    <t>OUT LEVANTE UD</t>
  </si>
  <si>
    <t>COCKTAIL LUCKIA</t>
  </si>
  <si>
    <t>LUCKIA RRHH/10 pax</t>
  </si>
  <si>
    <t>Montaje LUCKIA</t>
  </si>
  <si>
    <t xml:space="preserve">LUCKIA COFFEE-BREAK </t>
  </si>
  <si>
    <t>Montaje Percheros     BOLERO TEKSTIL</t>
  </si>
  <si>
    <t>LUCKIA RMG/40 pax</t>
  </si>
  <si>
    <t>LUCKIA MARKETING/22 pax</t>
  </si>
  <si>
    <t>LUCKIA RRHH/22 pax</t>
  </si>
  <si>
    <t>LUCKIA CONVENCION BUFFET</t>
  </si>
  <si>
    <t>BOLERO TEKSTIL</t>
  </si>
  <si>
    <t>FEBRERO</t>
  </si>
  <si>
    <t>Montaje EXP. CALZADO XTI</t>
  </si>
  <si>
    <t>XTI-EXP. DANTE</t>
  </si>
  <si>
    <t>PP-70 PAX (20 HRS.)</t>
  </si>
  <si>
    <t>PP-70 PAX "TEATRO" (2 MICROS)</t>
  </si>
  <si>
    <t>FI GRUPO/ "U" 8 PAX + AUDIOS</t>
  </si>
  <si>
    <t>TERUMO/ "U" 12 pax</t>
  </si>
  <si>
    <r>
      <t>XTI-EXP. DANTE (</t>
    </r>
    <r>
      <rPr>
        <b/>
        <sz val="12"/>
        <color rgb="FFFF0000"/>
        <rFont val="Aptos"/>
        <family val="2"/>
      </rPr>
      <t>out</t>
    </r>
    <r>
      <rPr>
        <b/>
        <sz val="12"/>
        <color theme="1"/>
        <rFont val="Aptos"/>
        <family val="2"/>
      </rPr>
      <t>)</t>
    </r>
  </si>
  <si>
    <t>CHARLA GPO. HOTUSA/25 pax</t>
  </si>
  <si>
    <t>PC GPO. DEPORT. HOTUSA/50 PAX</t>
  </si>
  <si>
    <t>UEM/ Examen 20 PAX</t>
  </si>
  <si>
    <t>UEM/ Examen 10 PAX</t>
  </si>
  <si>
    <t>UEM/ Examen 40 PAX</t>
  </si>
  <si>
    <t>FOZ DO CAVADO                                        CENA MENU GPO. 41 PAX</t>
  </si>
  <si>
    <t xml:space="preserve">PC GPO. DEPORT. HOTUSA/50 PAX    </t>
  </si>
  <si>
    <t>SHISEIDO/35 "ESCUELA"</t>
  </si>
  <si>
    <t>COCKTAIL BIENVENIDA SHISEIDO</t>
  </si>
  <si>
    <t>IN X TARDE EXP. STONEFLY</t>
  </si>
  <si>
    <t>STONEFLY</t>
  </si>
  <si>
    <t>FEM. ATLETICO MADRID/FISIO</t>
  </si>
  <si>
    <t>FEM. ATLETICO MADRID/CHARLA</t>
  </si>
  <si>
    <t>FEM. ATLETICO MADRID/COMEDOR</t>
  </si>
  <si>
    <t>JORNADAS LACONICAS</t>
  </si>
  <si>
    <t>MONTAJE X TARDE TAMARIS</t>
  </si>
  <si>
    <t>TAMARIS</t>
  </si>
  <si>
    <t xml:space="preserve"> </t>
  </si>
  <si>
    <t>KEYTEL EVENTS/"U" 15 pax   COFFEE DENTRO SALA</t>
  </si>
  <si>
    <t>SINGULAR BANK                         COFFEES VARIOS DENTRO SALA</t>
  </si>
  <si>
    <t xml:space="preserve"> DESVIO "EXE" IMSERSO/52 PAX MP</t>
  </si>
  <si>
    <t>DESVIO  "EXE" IMSERSO/52 PAX MP</t>
  </si>
  <si>
    <r>
      <t xml:space="preserve">JORNADAS LACONICAS                </t>
    </r>
    <r>
      <rPr>
        <b/>
        <sz val="10"/>
        <rFont val="Arial"/>
        <family val="2"/>
      </rPr>
      <t xml:space="preserve"> DESVIO "EXE" IMSERSO/52 PAX MP</t>
    </r>
  </si>
  <si>
    <t>MONTAJE EL GANSO</t>
  </si>
  <si>
    <t>MONTAJE  x TARDE DARIO</t>
  </si>
  <si>
    <t>EXP. GIOSEPPO                          MONTAJE X TARDE</t>
  </si>
  <si>
    <t>EL GANSO</t>
  </si>
  <si>
    <t>EXPO. DARIO CHOUZA</t>
  </si>
  <si>
    <t>GIOSEPPO</t>
  </si>
  <si>
    <t>GT MOTIVE/UK  11 PAX "U"</t>
  </si>
  <si>
    <t>GT MOTIVE/SALES "U" 14 PAX</t>
  </si>
  <si>
    <t>GT MOTIVE DIRECCION COCKTAIL</t>
  </si>
  <si>
    <t>CLUB DE LECTURA/17'00 HRS.</t>
  </si>
  <si>
    <t>OUT EL GANSO</t>
  </si>
  <si>
    <t>MARZO</t>
  </si>
  <si>
    <t>Montaje x EXP.LODI</t>
  </si>
  <si>
    <t>MONTAJE X TARDE EXP. AMARPIES</t>
  </si>
  <si>
    <t>LACONICAS: 50 PAX MEDICOS</t>
  </si>
  <si>
    <t>LODI</t>
  </si>
  <si>
    <t>Montaje x tarde EXP. HISPANITAS</t>
  </si>
  <si>
    <t>AMARPIES (ARTURO AMAT)</t>
  </si>
  <si>
    <t>HISPANITAS</t>
  </si>
  <si>
    <t>Desmontaje LODI</t>
  </si>
  <si>
    <t>OUT  -  AMARPIES (ARTURO AMAT)</t>
  </si>
  <si>
    <t xml:space="preserve">FESTIVO LOCAL                                MARTES CARNAVAL                                </t>
  </si>
  <si>
    <t>Montaje CALZADOS GONZALO</t>
  </si>
  <si>
    <t>COCKTAIL  GSX  15 PAX/20'00 HRS.</t>
  </si>
  <si>
    <t>GSK/15 PAX-19'00 HRS.</t>
  </si>
  <si>
    <t>CALZADOS GONZALO</t>
  </si>
  <si>
    <t>JUAN CARLOS RAMIREZ</t>
  </si>
  <si>
    <t>REUNION COMITÉ DE EMPRESA</t>
  </si>
  <si>
    <t>PALEX MEDICAL</t>
  </si>
  <si>
    <t>LA LIGA GENUINE/cena  (76 pax)</t>
  </si>
  <si>
    <t>LA LIGA GENUINE/PC (85 pax)</t>
  </si>
  <si>
    <t>LA LIGA GENUINE/PC (122 pax)</t>
  </si>
  <si>
    <t>PEPE MOLL x tarde/noche</t>
  </si>
  <si>
    <t>LA LIGA GENUINE: PICNICS 8'00</t>
  </si>
  <si>
    <t>140 UNIDADES.</t>
  </si>
  <si>
    <t>LA LIGA GENUINE/MP (67 pax)</t>
  </si>
  <si>
    <t>PEPE MOLL EXP.</t>
  </si>
  <si>
    <t>TRABAJOS JARDINERIA</t>
  </si>
  <si>
    <t>SIMULACRO BOMBEROS                 CURSO: 14'00 y SIMULACRO: 15'00</t>
  </si>
  <si>
    <t>UDG COSTA ADEJE               TENERIFE B FEMENINO</t>
  </si>
  <si>
    <t>Montaje UEM</t>
  </si>
  <si>
    <t>UEM x 30 pax "ESCUELA"</t>
  </si>
  <si>
    <t>GENERAL OPTICA/"U" 25 PAX MJ</t>
  </si>
  <si>
    <t>COFFEE-BREAK /GEN.OP</t>
  </si>
  <si>
    <t>DICOFARM/ENTREVISTAS</t>
  </si>
  <si>
    <t>PRODUCCION NETA  ACUMULADA MES DE ENERO  (MICE + F &amp; B)</t>
  </si>
  <si>
    <t>PRODUCCION NETA x SEGMENTOS COMPARATIVA</t>
  </si>
  <si>
    <t>MES DE ENERO</t>
  </si>
  <si>
    <t>SALAS</t>
  </si>
  <si>
    <t>AUDIOS</t>
  </si>
  <si>
    <t>Ejercicio    2019</t>
  </si>
  <si>
    <t>BUFFET + BEBIDAS RTE.</t>
  </si>
  <si>
    <t>Ejercicio    2020</t>
  </si>
  <si>
    <t>BANQUETES</t>
  </si>
  <si>
    <t>Ejercicio    2021</t>
  </si>
  <si>
    <t>MENUS EQUIPOS Y GRUPOS</t>
  </si>
  <si>
    <t>Ejercicio    2022</t>
  </si>
  <si>
    <t>COFFEE-BREAK</t>
  </si>
  <si>
    <t>Ejercicio    2023</t>
  </si>
  <si>
    <t>ROOM-SERVICE</t>
  </si>
  <si>
    <t>Ejercicio    2024</t>
  </si>
  <si>
    <t>DESAYUNO</t>
  </si>
  <si>
    <t>Ejercicio    2025</t>
  </si>
  <si>
    <t>MINIBAR</t>
  </si>
  <si>
    <t>Diferencia (2019-2025):</t>
  </si>
  <si>
    <t>Diferencia (2020-2025):</t>
  </si>
  <si>
    <t>Diferencia (2021-2025):</t>
  </si>
  <si>
    <t>TOTAL</t>
  </si>
  <si>
    <t>Diferencia (2022-2025):</t>
  </si>
  <si>
    <t>Diferencia (2023-2025):</t>
  </si>
  <si>
    <t>Diferencia (2024-2025):</t>
  </si>
  <si>
    <t>PRODUCCION NETA  ACUMULADA MES DE FEBRERO (MICE + F &amp; B)</t>
  </si>
  <si>
    <t>MES DE FEBRERO</t>
  </si>
  <si>
    <t>PRODUCCION NETA  ACUMULADA MES DE MARZO  (MICE + F &amp; B)</t>
  </si>
  <si>
    <t>MES DE MARZO</t>
  </si>
  <si>
    <t>ABRIL</t>
  </si>
  <si>
    <t>PEREZ TORRES Y CIA. / "U" 27 pax + audios                                   COFFEE dentro sala</t>
  </si>
  <si>
    <t>REUNION CONGRESO TTCC</t>
  </si>
  <si>
    <t>UEM/40 PAX</t>
  </si>
  <si>
    <t>MERIT MEDICAL</t>
  </si>
  <si>
    <t>COCKTAIL MERIT MEDICAL</t>
  </si>
  <si>
    <t xml:space="preserve">COFFEE MERIT MEDICALx mañana                   </t>
  </si>
  <si>
    <t>VACAFILMS/CASTING</t>
  </si>
  <si>
    <t xml:space="preserve"> COCKTAIL MERIT MEDICAL</t>
  </si>
  <si>
    <t>LEO PHARMA/25 PAX+AUDIOS HOTEL</t>
  </si>
  <si>
    <r>
      <t xml:space="preserve">COFFEE MERIT MEDICALx mañana                  </t>
    </r>
    <r>
      <rPr>
        <b/>
        <sz val="11"/>
        <color rgb="FF002060"/>
        <rFont val="Arial"/>
        <family val="2"/>
      </rPr>
      <t xml:space="preserve"> COCKTAIL LEO PHARMAx tarde</t>
    </r>
  </si>
  <si>
    <t>MEDTRONIC x tarde "ESCUELA" 30 PAX</t>
  </si>
  <si>
    <t>MEDTRONIC                                           COFFEE-BREAK TARDE</t>
  </si>
  <si>
    <t>MEDTRONIC x mañana "ESCUELA" 30 PAX</t>
  </si>
  <si>
    <t>MEDTRONIC                                                   COFFEE-BREAK MAÑANA</t>
  </si>
  <si>
    <t>SEMANA SANTA</t>
  </si>
  <si>
    <t>COVIRAN GRANADA</t>
  </si>
  <si>
    <t>COVIRAN GRANADA CB/23 PAX</t>
  </si>
  <si>
    <r>
      <t xml:space="preserve">COVIRAN GRANADA/ </t>
    </r>
    <r>
      <rPr>
        <b/>
        <sz val="11"/>
        <color theme="3" tint="0.499984740745262"/>
        <rFont val="Arial"/>
        <family val="2"/>
      </rPr>
      <t>LLEGADA CON CENA</t>
    </r>
  </si>
  <si>
    <r>
      <t>COVIRAN GRANADA/</t>
    </r>
    <r>
      <rPr>
        <b/>
        <sz val="11"/>
        <color theme="3" tint="0.499984740745262"/>
        <rFont val="Arial"/>
        <family val="2"/>
      </rPr>
      <t>PENSION COMPLETA</t>
    </r>
  </si>
  <si>
    <r>
      <t>COVIRAN GRANADA/</t>
    </r>
    <r>
      <rPr>
        <b/>
        <sz val="11"/>
        <color theme="3" tint="0.499984740745262"/>
        <rFont val="Arial"/>
        <family val="2"/>
      </rPr>
      <t>SALIDA CON DESAYUNO</t>
    </r>
  </si>
  <si>
    <t>HOSPITALITY DESK LILLY</t>
  </si>
  <si>
    <t>ROTARY CLUB/50 PAX</t>
  </si>
  <si>
    <t>TENTEMPIE CLAUSURA                ROTARY 35 PAX</t>
  </si>
  <si>
    <t>GRANADA FEMENINO</t>
  </si>
  <si>
    <t>GRANADA FEMENINO/ CENA EQUIPO 24 PAX</t>
  </si>
  <si>
    <t>UEM-EXAMEN 10 PAX</t>
  </si>
  <si>
    <t>GRANADA FEMENINO/DESAYUNO Y SALIDA EQUIPO</t>
  </si>
  <si>
    <t>MONTAJE BOLERO TEKSTIL</t>
  </si>
  <si>
    <t>MAYO</t>
  </si>
  <si>
    <t>RAMYCGA-COCKTAIL/20'30 HRS.</t>
  </si>
  <si>
    <t>RAMYCGA-COCKTAIL 70 PAX / 20'30 HRS.</t>
  </si>
  <si>
    <t>PP /80 PAX+AUDIOS HOTEL</t>
  </si>
  <si>
    <t>PP/80 PAX+AUDIOS HOTEL</t>
  </si>
  <si>
    <t>J&amp;J / 10 PAX "TEATRO"</t>
  </si>
  <si>
    <t xml:space="preserve">MONTAJE AUDIOS EXTERNOS </t>
  </si>
  <si>
    <t>MONTAJE F&amp;B</t>
  </si>
  <si>
    <t>C-SINK/ "ESCUELA"</t>
  </si>
  <si>
    <t>C-SINK/COFFEE MAÑANA Y TARDE                         Y COCKTAIL COMIDA</t>
  </si>
  <si>
    <t>ASTEX "ESCUELA"</t>
  </si>
  <si>
    <t>C-SINK/COFFEE MAÑANA                                 Y COCKTAIL COMIDA</t>
  </si>
  <si>
    <t>OUT ASTEX</t>
  </si>
  <si>
    <t>BLUE HOLE           EXP. CONFECCION</t>
  </si>
  <si>
    <t>C-SINK/LUNCH BOX 23 PAX</t>
  </si>
  <si>
    <t>PROMOCION 1964-BANQUETE COMIDA</t>
  </si>
  <si>
    <t>CENA GPO. VIAGGIO/ 25 PAX</t>
  </si>
  <si>
    <t>CENA MENU/40 PAX</t>
  </si>
  <si>
    <r>
      <t xml:space="preserve">CENA MENU/40 PAX                         </t>
    </r>
    <r>
      <rPr>
        <b/>
        <sz val="12"/>
        <color theme="3"/>
        <rFont val="Amasis MT Pro"/>
        <family val="1"/>
      </rPr>
      <t xml:space="preserve">  GPO. HOTUSA 27 PAX CENA</t>
    </r>
  </si>
  <si>
    <t>STARBUCKS/KEYTEL (40 PAX)</t>
  </si>
  <si>
    <t>ABOCA/40 "ESCUELA".</t>
  </si>
  <si>
    <t>COFFEE MAÑANA Y TARDE/ABOCA 40 PAX</t>
  </si>
  <si>
    <t>CD TENERIFE-JUVENIL A   FISIOTERAPEUTA</t>
  </si>
  <si>
    <t>CD TENERIFE-JUVENIL A               CHARLA TECNICA</t>
  </si>
  <si>
    <t>CD TENERIFE-JUVENIL A                         (COMEDOR EQUIPO)</t>
  </si>
  <si>
    <t>CD TENERIFE-JUVENIL A                              (COMEDOR EQUIPO)</t>
  </si>
  <si>
    <t xml:space="preserve">FESTIVO </t>
  </si>
  <si>
    <t>CENA MENU GRUPO/26 PAX</t>
  </si>
  <si>
    <t>BNG/"IMPERIAL" 12 PAX x tarde</t>
  </si>
  <si>
    <t>COOPERVISION                 FORMACION 15 PAX</t>
  </si>
  <si>
    <t>COOPERVISION                              COCKTAIL 15 PAX</t>
  </si>
  <si>
    <t>COFFEE-BREAK MAÑANA Y COCKTAIL COMIDA GENERAL OPTICA/KEYTEL</t>
  </si>
  <si>
    <t>GENERAL OPTICA/KEYTEL                                       MESA  "U" 12 PAX + AUDIOS</t>
  </si>
  <si>
    <t>PALEX/"ESCUELA" 30 PAX</t>
  </si>
  <si>
    <t>COCKTAIL COMIDA                                        CORAL DIPUTACION 50 PAX</t>
  </si>
  <si>
    <t>COCKTAIL CENA RAMYCGA 20 PAX</t>
  </si>
  <si>
    <t>COCKTAIL CENA PALEX/30 PAX</t>
  </si>
  <si>
    <t>CASTING CONCHI IGLESIAS</t>
  </si>
  <si>
    <t>COMIDA MENU                                        CONGRESO AFUNDACION  35 pax</t>
  </si>
  <si>
    <t>UEM</t>
  </si>
  <si>
    <t>CINEMA S8</t>
  </si>
  <si>
    <t>PP-DESAYUNO TRABAJO IMPERIAL 25/30 PAX</t>
  </si>
  <si>
    <t>FEDERACION PROV. APAS/66 PAX "ESCUELA" + AUDIOS HOTEL</t>
  </si>
  <si>
    <t>FEDERACION PROV. APAS/66 PAX                        "ESCUELA" + AUDIOS HOTEL</t>
  </si>
  <si>
    <t>COFFEE-BREAK MAÑANA                                     FEDER. PROV. APAS  (66 PAX)</t>
  </si>
  <si>
    <t>GPO. HOTUSA/ PC/ 36 PAX                CENA GPO. CASA GALICIA/41 PAX</t>
  </si>
  <si>
    <t>JUNIO</t>
  </si>
  <si>
    <t>FORMACION HOTUSA/11'30 HRS.</t>
  </si>
  <si>
    <t xml:space="preserve">FEDERACION ATLETISMO/Organización </t>
  </si>
  <si>
    <t>FED. ATLETISMO/ANTIDOPING</t>
  </si>
  <si>
    <t>CENA FED. GALEGA ATLETISMO/                   145 PAX CENA BUFFET DEPORT.</t>
  </si>
  <si>
    <t>FED. GALEGA ATLETISMO/                       150 PAX   BUFFET COMIDA Y CENA</t>
  </si>
  <si>
    <t>CINEMA S8/SALIDA</t>
  </si>
  <si>
    <t>EUROSTARS HOTEL COMPANY</t>
  </si>
  <si>
    <t>MONTAJE XTI</t>
  </si>
  <si>
    <t>XTI-EXPOSICION CALZADO</t>
  </si>
  <si>
    <t>ENTREVISTAS VIATRIS</t>
  </si>
  <si>
    <t>MFAR-JUNTA DIRECTIVA</t>
  </si>
  <si>
    <t>UEM/25 PAX</t>
  </si>
  <si>
    <t>RAMYCGA-70 PAX-SR. ARTURO GLEZ.</t>
  </si>
  <si>
    <t>COCKTAIL RAMYCGA-70 PAX-SR. ARTURO GLEZ.</t>
  </si>
  <si>
    <t>UEM/50 PAX</t>
  </si>
  <si>
    <t>BMS-GEM/"U" 14 PAX+AUDIOS Y COFFEE</t>
  </si>
  <si>
    <t xml:space="preserve"> GPO.  HOTUSA/18 PAX - PC                   COMIDA Y CENA GPO.</t>
  </si>
  <si>
    <t>COCKTAIL ROCHE/50 PAX</t>
  </si>
  <si>
    <t>BLOQUEO TECHO</t>
  </si>
  <si>
    <t>ENDESA / 40 PAX "ESCUELA" + AUDIOS</t>
  </si>
  <si>
    <t>COFFEE-BREAK ENDESA 35 PAX</t>
  </si>
  <si>
    <t>BNG "TEATRO" 40 PAX+PRESIDENCIA</t>
  </si>
  <si>
    <t xml:space="preserve">    </t>
  </si>
  <si>
    <t>GPO. HOTUSA EXTRACUPO/PC-31 PAX</t>
  </si>
  <si>
    <r>
      <rPr>
        <b/>
        <sz val="10"/>
        <color theme="8" tint="-0.499984740745262"/>
        <rFont val="Arial"/>
        <family val="2"/>
      </rPr>
      <t xml:space="preserve">FC ANDORRA  - DESAYUNO 47 PAX.    </t>
    </r>
    <r>
      <rPr>
        <b/>
        <sz val="10"/>
        <rFont val="Arial"/>
        <family val="2"/>
      </rPr>
      <t xml:space="preserve">                        GPO. HOTUSA EXTRACUPO/MP CENA-31 PAX</t>
    </r>
  </si>
  <si>
    <t>PROFIRST</t>
  </si>
  <si>
    <t>FESTIVO LOCAL SAN JUAN</t>
  </si>
  <si>
    <t>CLUB DE LECTURA/PICOTEO</t>
  </si>
  <si>
    <t>JOHNSON &amp; JOHNSON/"U" 15 PAX</t>
  </si>
  <si>
    <t>COCKTAIL JOHNSON &amp; JOHNSON</t>
  </si>
  <si>
    <t>EVOMED CENA BANQUETE 31 PAX</t>
  </si>
  <si>
    <t>COMIDA SERGAS JUBILACION "IMPERIAL" 23 PAX</t>
  </si>
  <si>
    <t>PRODUCCION NETA  ACUMULADA MES DE ABRIL  (MICE + F &amp; B)</t>
  </si>
  <si>
    <t>MES DE ABRIL</t>
  </si>
  <si>
    <t xml:space="preserve">  </t>
  </si>
  <si>
    <t>PRODUCCION NETA  ACUMULADA MES DE MAYO  (MICE + F &amp; B)</t>
  </si>
  <si>
    <t>MES DE MAYO</t>
  </si>
  <si>
    <t>PRODUCCION NETA  ACUMULADA MES DE JUNIO  (MICE + F &amp; B)</t>
  </si>
  <si>
    <t>MES DE JUNIO</t>
  </si>
  <si>
    <t>JULIO</t>
  </si>
  <si>
    <t>GPO. HOTUSA PC/17 PAX</t>
  </si>
  <si>
    <t>CASTING                     CONCHI IGLESIAS</t>
  </si>
  <si>
    <t>MAN TRUCK/"U" 6 PAX</t>
  </si>
  <si>
    <t>TMS-FORMACION EUROSTARS</t>
  </si>
  <si>
    <t>IMAYA FORMACION                           ESCUELA 17 PAX</t>
  </si>
  <si>
    <t>COFFEES-IMAYA FORM./17 PAX</t>
  </si>
  <si>
    <t>IMAYA FORMACION                      ESCUELA 17 PAX</t>
  </si>
  <si>
    <t>Montaje TAYPA x tarde</t>
  </si>
  <si>
    <t>MONTAJE GIOSEPPO CALZADO</t>
  </si>
  <si>
    <t>GPO. HOTUSA/CENA 22 PAX</t>
  </si>
  <si>
    <t>EXPOSICION INDITEX</t>
  </si>
  <si>
    <t>TAYPA-EXP. CONFECCION</t>
  </si>
  <si>
    <t>MONTAJE DARIO CHOUZA</t>
  </si>
  <si>
    <t>DARIO CHOUZA</t>
  </si>
  <si>
    <t>BLOQUEO MUESTRARIO</t>
  </si>
  <si>
    <t>AGOSTO</t>
  </si>
  <si>
    <t>FREE BODA L&amp;J</t>
  </si>
  <si>
    <t>TAMARIS-LLEGADA Y MONTAJE</t>
  </si>
  <si>
    <t>TAMARIS/Expos. Calzado</t>
  </si>
  <si>
    <t>XTI-LLEGADA Y MONTAJE</t>
  </si>
  <si>
    <t>XTI/Expos. Calzado</t>
  </si>
  <si>
    <t>GPO. HOTUSA/MP                                        CENA 57 PAX</t>
  </si>
  <si>
    <t>SEPTIEMBRE</t>
  </si>
  <si>
    <t>ARTURO AMAT-IN Y MONTAJE</t>
  </si>
  <si>
    <t>ARTURO AMAT/Expos. Calzado</t>
  </si>
  <si>
    <t>SPORTING GIJON</t>
  </si>
  <si>
    <t>GPO. HOTUSA/MP 50 PAX</t>
  </si>
  <si>
    <t>STONEFLY-LLEGADA Y MONTAJE</t>
  </si>
  <si>
    <t>LLEGADA EL GANSO</t>
  </si>
  <si>
    <t>STONEFLY/Expos. Calzado</t>
  </si>
  <si>
    <t>EL GANSO-EXP. CONF.</t>
  </si>
  <si>
    <t>REUNION 11 PAX-OKTA</t>
  </si>
  <si>
    <t>MONTAJE x  tarde  DIOR</t>
  </si>
  <si>
    <t>GPO. HOTUSA/MP 23 PAX</t>
  </si>
  <si>
    <t>FORMACIÓN DIOR  BTRAVEL/12 pax</t>
  </si>
  <si>
    <t>THE URBAN ROOSTERS</t>
  </si>
  <si>
    <t>COFFEE DIOR MAÑANA Y TARDE</t>
  </si>
  <si>
    <t>SALIDA EL GANSO</t>
  </si>
  <si>
    <t>BLOQUEO MATERIAL DIOR</t>
  </si>
  <si>
    <t>GPO. HOTUSA/MP 46 PAX</t>
  </si>
  <si>
    <t>UEM-EXAMEN 30 PAX</t>
  </si>
  <si>
    <t>GPO. HOTUSA/MP 34 PAX</t>
  </si>
  <si>
    <t>IN EXCALPA MONTAJE</t>
  </si>
  <si>
    <t>IN HISPANITAS MONTAJE</t>
  </si>
  <si>
    <t>EXCALPA-EXP. CALZADO</t>
  </si>
  <si>
    <t>HISPANITAS JC-EXP. CALZADO</t>
  </si>
  <si>
    <t>DIOR / TEATRO 86 PAX+AUDIOS</t>
  </si>
  <si>
    <t>COCKTAIL BIENVENIDA                                                DIOR/86 PAX- 22'00 hrs.</t>
  </si>
  <si>
    <t>IMBRIA PHARMACEUTICALS  COCKTAIL (12'00 HRS.) 25 PAX</t>
  </si>
  <si>
    <t>IMBRIA PHARMACEUTICALS  PRESENTACION "U" 25 PAX</t>
  </si>
  <si>
    <t>COPA BIENVENIDA                                              GPO. GUZMAN 19'30 HRS.</t>
  </si>
  <si>
    <t>GRUPO GUZMAN (30 PAX) MP TIENEN BEBIDAS INCLUIDAS</t>
  </si>
  <si>
    <t>CD NUMANCIA-CHARLA</t>
  </si>
  <si>
    <t>CD NUMANCIA-FISIO</t>
  </si>
  <si>
    <t>UEM (EXAMEN 10 PAX) x mañana</t>
  </si>
  <si>
    <t>CD NUMANCIA-COMEDOR</t>
  </si>
  <si>
    <r>
      <rPr>
        <b/>
        <sz val="9"/>
        <color rgb="FF275317"/>
        <rFont val="Arial"/>
      </rPr>
      <t xml:space="preserve"> </t>
    </r>
    <r>
      <rPr>
        <b/>
        <sz val="10"/>
        <color rgb="FF275317"/>
        <rFont val="Arial"/>
      </rPr>
      <t xml:space="preserve">                </t>
    </r>
    <r>
      <rPr>
        <b/>
        <sz val="10"/>
        <color rgb="FF000000"/>
        <rFont val="Arial"/>
      </rPr>
      <t xml:space="preserve">                                                                    CD NUMANCIA-ACTIVACION x MAÑANA     &amp; MONTAJE x tarde EXP. CALZADO LODI</t>
    </r>
  </si>
  <si>
    <t>MONTAJE x tarde GIOSEPPO</t>
  </si>
  <si>
    <t>LODI-EXP. CALZADO ANABEL HDEZ.</t>
  </si>
  <si>
    <t>GIOSEPPO Exp. Calzado</t>
  </si>
  <si>
    <t>Montaje x tarde BOLERO TEKSTIL</t>
  </si>
  <si>
    <t>GENERAL OPTICA "U" 25 PAX + AUDIOS</t>
  </si>
  <si>
    <t>BOLERO TEKSTIL   Exp. Ropa</t>
  </si>
  <si>
    <t>COFFEE-GENERAL OPTICA/25 PAX</t>
  </si>
  <si>
    <t>JUNTA CONGRESO GEHEP      (De 9 a 14 hrs.)</t>
  </si>
  <si>
    <t>30 PAX- NOMA SYSTEMS (JC)</t>
  </si>
  <si>
    <t>OCEANO AZUL  GEHEP COFFEES   TARDE  100 PAX</t>
  </si>
  <si>
    <t>GPO. HOTUSA/MP 18 PAX</t>
  </si>
  <si>
    <t>JUNTA CONGRESO SOGUG      (De 9 a 11 hrs.)</t>
  </si>
  <si>
    <t>45 PAX-NOMA SYSTEMS (MJ)</t>
  </si>
  <si>
    <t>OCEANO AZUL GEHEP COFFEES  MAÑANA Y TARDE  110 PAX</t>
  </si>
  <si>
    <t>CENA BUFFET RAIOLA NETWORKS 130 PAX.</t>
  </si>
  <si>
    <t>OCEANO AZUL GEHEP  COFFEES   MAÑANA  80 PAX</t>
  </si>
  <si>
    <t>COMIDA BUFFET RAIOLA NETWORKS 130 PAX.</t>
  </si>
  <si>
    <t>CALZADOS GONZALO/MONTAJE</t>
  </si>
  <si>
    <t>CALZADOS GONZALO/JC</t>
  </si>
  <si>
    <t>VILMORIN MIKADO</t>
  </si>
  <si>
    <t>VILMORIN MIKADO  "U" 17 PAX</t>
  </si>
  <si>
    <t>VILMORIN COFFEE TARDE 17 PAX</t>
  </si>
  <si>
    <t>VILMORIN COMIDA-17 PAX</t>
  </si>
  <si>
    <t>PRODUCCION NETA  ACUMULADA MES DE JULIO  (MICE + F &amp; B)</t>
  </si>
  <si>
    <t>MES DE JULIO</t>
  </si>
  <si>
    <t>PRODUCCION NETA  ACUMULADA MES DE AGOSTO  (MICE + F &amp; B)</t>
  </si>
  <si>
    <t>MES DE AGOSTO</t>
  </si>
  <si>
    <t>PRODUCCION NETA  ACUMULADA MES DE SEPTIEMBRE  (MICE + F &amp; B)</t>
  </si>
  <si>
    <t>MES DE SEPTIEMBRE</t>
  </si>
  <si>
    <t>OCTUBRE</t>
  </si>
  <si>
    <t>VILMORIN COFFEE MAÑANA Y TARDE                17 PAX</t>
  </si>
  <si>
    <t>VILMORIN - COMIDA 17 PAX</t>
  </si>
  <si>
    <t>VILMORIN  - COMIDA 61 PAX</t>
  </si>
  <si>
    <t>UD ALMERIA</t>
  </si>
  <si>
    <t xml:space="preserve">COMIDA JUBILACION PITUSA/72 PAX                                                        </t>
  </si>
  <si>
    <t>CENA GPO. HOTUSA/14 PAX</t>
  </si>
  <si>
    <t>LLEGADA Y MONTAJE x tarde GUERLAIN</t>
  </si>
  <si>
    <t>GENERAL OPTICA "U" 16 PAX + AUDIOS</t>
  </si>
  <si>
    <t>FORMACION GUERLAIN 14 PAX U" + PANTALLA Y MESA EXPOSITORA</t>
  </si>
  <si>
    <t>COFFEE MAÑANA Y TARDE GUERLAIN</t>
  </si>
  <si>
    <t>CASTING SALTA2 GRABACION</t>
  </si>
  <si>
    <t>CASTING SALTA2//16 PAX-TEST</t>
  </si>
  <si>
    <t>GRUPO HOTUSA /CENA 20 PAX        GRUPO HOTUSA /CENA 35 PAX</t>
  </si>
  <si>
    <t>GRUPO HOTUSA/CENA 35 PAX</t>
  </si>
  <si>
    <t>ASISA  "U" 15 PAX + PANTALLA</t>
  </si>
  <si>
    <t>ASISA COFFEE 15 PAX (12 HRS.)</t>
  </si>
  <si>
    <t>GPO. HOTUSA/CENA 36 PAX</t>
  </si>
  <si>
    <t>EUROSTARS HOTELS</t>
  </si>
  <si>
    <t>GPO. HOTUSA/CENA 18 PAX</t>
  </si>
  <si>
    <t>UEM-DEFENSAS                                         x mañana</t>
  </si>
  <si>
    <t>UEM-TFM JC</t>
  </si>
  <si>
    <t>UEM-EXAMEN JC</t>
  </si>
  <si>
    <t>DIPUTACION "ESCUELA" 40 PAX + AUDIOS</t>
  </si>
  <si>
    <t>IN Y MONTAJE</t>
  </si>
  <si>
    <t>JORGE GARCIA/EXP. CALZADO</t>
  </si>
  <si>
    <t>REUNIÓN COSMOS ARQUITECTOS</t>
  </si>
  <si>
    <t>SALINERA ESPAÑOLA</t>
  </si>
  <si>
    <t>OUT Y DESMONTAJE</t>
  </si>
  <si>
    <t>GRUPO HOTUSA/17 PAX+AUDIOS</t>
  </si>
  <si>
    <t>KOBHO LABS.-COCKTAIL COMIDA</t>
  </si>
  <si>
    <t>KOBHO LABS./50 PAX "TEATRO"</t>
  </si>
  <si>
    <t>COFFEE  BIENVENIDA                      KOBHO LABS.</t>
  </si>
  <si>
    <t>SPEAK &amp; TRAVEL</t>
  </si>
  <si>
    <t>CENA GRUPO SAPO PORTUGAL/29 PAX</t>
  </si>
  <si>
    <t>COMIDA GRUPO SAPO PORTUGAL/29 PAX</t>
  </si>
  <si>
    <t>SHISEIDO/TEATRO 60 PAX</t>
  </si>
  <si>
    <t>COCKTAIL SHISEIDO 22'30 hrs.</t>
  </si>
  <si>
    <t>ISLE UTILITIES "U" 30 PAX+AUDIOS</t>
  </si>
  <si>
    <t>ISLE UTILITIES                                          COCKTAIL 18 PAX/14'00-15 HRS.</t>
  </si>
  <si>
    <t>AIMEN 14 PAX "U"+TV</t>
  </si>
  <si>
    <t>COCKTAIL AIMEN                        15 PAX</t>
  </si>
  <si>
    <t>COFFEE AIMEN 14 PAX</t>
  </si>
  <si>
    <t>TENERIFE</t>
  </si>
  <si>
    <t>NOVIEMBRE</t>
  </si>
  <si>
    <t>APR SALUD</t>
  </si>
  <si>
    <t>CULTURAL LEONESA</t>
  </si>
  <si>
    <t>LEONCIO/COFFEE 12 PAX</t>
  </si>
  <si>
    <t>LEONARDO TEJEDOR montaje x tarde</t>
  </si>
  <si>
    <t>LEONARDO TEJEDOR</t>
  </si>
  <si>
    <t>SCHINDLER "ESCUELA" 20 PAX + PANTALLA</t>
  </si>
  <si>
    <t>COFFEE-BREAK SCHINDLER 20 PAX</t>
  </si>
  <si>
    <t>ELECNOR 11PAX / JC</t>
  </si>
  <si>
    <t>COFFEE-BREAK ELECNOR/11 PAX</t>
  </si>
  <si>
    <t>CENA PROFIRST/9 PAX</t>
  </si>
  <si>
    <t>ELECNOR 11PAX / MJ</t>
  </si>
  <si>
    <t>MONTAJE BLUE HOLE</t>
  </si>
  <si>
    <t>RENOWA HEALTH</t>
  </si>
  <si>
    <t>BLUE HOLE</t>
  </si>
  <si>
    <t>JUBILACION MAPY/24 PAX</t>
  </si>
  <si>
    <t>AD CEUTA</t>
  </si>
  <si>
    <t>LLEGADA CENA/PC</t>
  </si>
  <si>
    <t>PC</t>
  </si>
  <si>
    <t>DESAYUNO Y SALIDA AD CEUTA</t>
  </si>
  <si>
    <t>BLOQUEO COCINA</t>
  </si>
  <si>
    <t>BLOQUEO F&amp;B</t>
  </si>
  <si>
    <t>BICO DE XEADO/COCKTAIL CENA 90 PAX</t>
  </si>
  <si>
    <t>PORTOCABO</t>
  </si>
  <si>
    <t>REUNION ROTARY</t>
  </si>
  <si>
    <t>CHARLA ROTARY CLUB/30 PAX</t>
  </si>
  <si>
    <t>COCKTAIL ROTARY CLUB/30 PAX</t>
  </si>
  <si>
    <t>CORREOS-COMIDA NAVIDAD-20 PAX</t>
  </si>
  <si>
    <t>IMAYA FORMACION                                                                         ESCUELA 18 PAX</t>
  </si>
  <si>
    <t>ARTURO RIAL-COAC (70 PAX)</t>
  </si>
  <si>
    <t>COCKTAIL NAVIDAD-COAC             (70 PAX)</t>
  </si>
  <si>
    <t>COFFEES-IMAYA FORM./18 PAX</t>
  </si>
  <si>
    <t>IMAYA FORMACION                                                                      ESCUELA 18 PAX</t>
  </si>
  <si>
    <t>IMAYA FORMACION                                                                                  ESCUELA 18 PAX</t>
  </si>
  <si>
    <t>DICIEMBRE</t>
  </si>
  <si>
    <t>GENERAL OPTICA/"U" 22 PAX + AUDIOS</t>
  </si>
  <si>
    <t>PALEX COCKTAIL CLAUSURA/33 PAX</t>
  </si>
  <si>
    <t>PALEX MEDICAL/"U" 33 PAX + AUDIOS</t>
  </si>
  <si>
    <t>COFFEE GENERAL OPTICA/22 PAX</t>
  </si>
  <si>
    <t>EQUIPO PALEX/BLOQUEO</t>
  </si>
  <si>
    <t>GRANADA CF FEM.</t>
  </si>
  <si>
    <t>GRANADA CD FEM.</t>
  </si>
  <si>
    <t>LLEGADA CENA</t>
  </si>
  <si>
    <t>DESAYUNO Y SALIDA GRANADA</t>
  </si>
  <si>
    <t>CLUB DE LECTURA/NAVIDAD</t>
  </si>
  <si>
    <t>AGAFAC-COCKTAIL 14'30 HRS./50 PAX</t>
  </si>
  <si>
    <t>AGAFAC-COCKTAIL 14'30 HRS./ 50 PAX</t>
  </si>
  <si>
    <t>COCKTAIL CENA/AGRUPACION 55 PAX</t>
  </si>
  <si>
    <t>OGMIOS PROYECTO                                       COMIDA NAVIDAD/48 PAX</t>
  </si>
  <si>
    <t>OGMIOS PROYECTO                                                                      COMIDA NAVIDAD/48 PAX</t>
  </si>
  <si>
    <t>UEM-TFM MJ/10 PAX</t>
  </si>
  <si>
    <t>REAL SOCIEDAD B</t>
  </si>
  <si>
    <t>GRUPO HOTUSA                                                               PC-28 PAX</t>
  </si>
  <si>
    <t>MONTAJE x TARDE/EXPOS. XTI</t>
  </si>
  <si>
    <t>XTI</t>
  </si>
  <si>
    <t>COLEGIO GESTORES                 COMIDA NAVIDAD/43 PAX</t>
  </si>
  <si>
    <t>COLEGIO GESTORES                 APERITIVO  NAVIDAD/43 PAX</t>
  </si>
  <si>
    <t>PINCHOS PERSONAL HOTEL</t>
  </si>
  <si>
    <t>COLEGIO ODONTOLOGOS CENA 16 PAX</t>
  </si>
  <si>
    <t>CENA NAVIDAD/122 PAX VEGALSA</t>
  </si>
  <si>
    <t>APERITIVO BIENVENIDA                                                            VEGALSA 122 PAX</t>
  </si>
  <si>
    <t>AUTORIDAD PORTUARIA/143 PAX COMIDA NAVIDAD</t>
  </si>
  <si>
    <t>ROTARY CLUB/CENA NAVIDAD</t>
  </si>
  <si>
    <t>APERITIVO ROTARY CLUB/52 pax</t>
  </si>
  <si>
    <t>PRODUCCION NETA  ACUMULADA MES DE OCTUBRE  (MICE + F &amp; B)</t>
  </si>
  <si>
    <t>MES DE OCTUBRE</t>
  </si>
  <si>
    <t>PRODUCCION NETA  ACUMULADA MES DE NOVIEMBRE  (MICE + F &amp; B)</t>
  </si>
  <si>
    <t>MES DE NOVIEMBRE</t>
  </si>
  <si>
    <t>PRODUCCION NETA  ACUMULADA MES DE DICIEMBRE  (MICE + F &amp; B)</t>
  </si>
  <si>
    <t>MES DE DICIEMBRE</t>
  </si>
  <si>
    <t>CADIZ CF</t>
  </si>
  <si>
    <t>PARTIDO A LAS 21'00</t>
  </si>
  <si>
    <t>BICO DE XEADO/100 PAX</t>
  </si>
  <si>
    <t>PP</t>
  </si>
  <si>
    <t>UNIVERSIDAD FRANCISCO VITORIA/20 pax</t>
  </si>
  <si>
    <t>FIBWI LEB ORO</t>
  </si>
  <si>
    <t>P&amp;A GROUP</t>
  </si>
  <si>
    <t>MONTAJE X TARDE      PIPO Y AMIGOS</t>
  </si>
  <si>
    <t>COFFEE-P&amp;A GROUP</t>
  </si>
  <si>
    <t>COMIDA P&amp;A GROUP</t>
  </si>
  <si>
    <t>PIPO Y AMIGOS</t>
  </si>
  <si>
    <t>NATO/20 PAX MJ x tarde</t>
  </si>
  <si>
    <t>UEM/EXAMEN 20 PAX</t>
  </si>
  <si>
    <t>UEM/EXAMEN 30 PAX</t>
  </si>
  <si>
    <t>CARMEN VIDAL PAN</t>
  </si>
  <si>
    <t>COCKTAIL RAMYCGA</t>
  </si>
  <si>
    <t>IN y MONTAJE</t>
  </si>
  <si>
    <t>JANET&amp;JANET</t>
  </si>
  <si>
    <t>MONTAJE EXP. LODI</t>
  </si>
  <si>
    <t>LODI/EXP. CALZADO</t>
  </si>
  <si>
    <t>IN Y MONTAJE HISPANITAS</t>
  </si>
  <si>
    <t>PANAMA JACK</t>
  </si>
  <si>
    <t>CALZADOS GONZALO                                  (IN y MONTAJE)</t>
  </si>
  <si>
    <t>COCKTAIL CICCP 50 PAX/14'00 HRS.</t>
  </si>
  <si>
    <t>LUCENTUM ALICANTE</t>
  </si>
  <si>
    <t>ALMUERZO 124 PAX info@iverusviajes.es</t>
  </si>
  <si>
    <t>MONTAJE JORGE GARCIA</t>
  </si>
  <si>
    <t>JORGE GARCIA EXP. CALZADO/MIXTA</t>
  </si>
  <si>
    <t>REAL ZARAGOZA</t>
  </si>
  <si>
    <t>Diferencia (2025-2026):</t>
  </si>
  <si>
    <t>MIRANDÉS</t>
  </si>
  <si>
    <t>SERIES KARATE</t>
  </si>
  <si>
    <t>GIPUZKOA BASKET</t>
  </si>
  <si>
    <t>CONGRESO SECOIR</t>
  </si>
  <si>
    <t>COFFEE-CONGRESO SECOIR</t>
  </si>
  <si>
    <t>JORNADA</t>
  </si>
  <si>
    <t>DERMATOLOGICA</t>
  </si>
  <si>
    <t>ANDORRA</t>
  </si>
  <si>
    <t>GPO. HOTUSA/40 PAX</t>
  </si>
  <si>
    <t>FED.GAL.ATLETISMO</t>
  </si>
  <si>
    <t>COMIDA BUFFET</t>
  </si>
  <si>
    <t>CENA BUFFET</t>
  </si>
  <si>
    <t>CONGRESO SEPAR</t>
  </si>
  <si>
    <t>CATA RESTEL</t>
  </si>
  <si>
    <t>COCKTAIL RESTEL</t>
  </si>
  <si>
    <t>ODDO "ESCUELA" 40 PAX + AUDIOS MCN y COFFEE</t>
  </si>
  <si>
    <t>ODDO COCKTAIL COMIDA 40 PAX</t>
  </si>
  <si>
    <t>Ejercicio   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</si>
</sst>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* #,##0.00\ &quot;€&quot;_-;\-* #,##0.00\ &quot;€&quot;_-;_-* &quot;-&quot;??\ &quot;€&quot;_-;_-@_-"/>
    <numFmt numFmtId="165" formatCode="#,##0.00&quot; &quot;[$€-C0A];[Red]&quot;-&quot;#,##0.00&quot; &quot;[$€-C0A]"/>
    <numFmt numFmtId="166" formatCode="&quot; &quot;* #,##0.00&quot; &quot;[$€-C0A]&quot; &quot;;&quot;-&quot;* #,##0.00&quot; &quot;[$€-C0A]&quot; &quot;;&quot; &quot;* &quot;-&quot;#&quot; &quot;[$€-C0A]&quot; &quot;;&quot; &quot;@&quot; &quot;"/>
    <numFmt numFmtId="167" formatCode="#,##0.00&quot; &quot;[$€-C0A];[Red]#,##0.00&quot; &quot;[$€-C0A]"/>
    <numFmt numFmtId="168" formatCode="_-* #,##0.00\ [$€-C0A]_-;\-* #,##0.00\ [$€-C0A]_-;_-* &quot;-&quot;??\ [$€-C0A]_-;_-@_-"/>
    <numFmt numFmtId="169" formatCode="#,##0.00\ [$€-C0A];[Red]#,##0.00\ [$€-C0A]"/>
    <numFmt numFmtId="170" formatCode="_([$€-2]\ * #,##0.00_);_([$€-2]\ * \(#,##0.00\);_([$€-2]\ * &quot;-&quot;??_);_(@_)"/>
  </numFmts>
  <fonts count="182">
    <font>
      <sz val="11"/>
      <color theme="1"/>
      <name val="Aptos Narrow"/>
      <family val="2"/>
      <scheme val="minor"/>
    </font>
    <font>
      <b/>
      <u/>
      <sz val="12"/>
      <color rgb="FF5B277D"/>
      <name val="Calibri"/>
      <family val="2"/>
    </font>
    <font>
      <b/>
      <sz val="12"/>
      <color rgb="FF000000"/>
      <name val="Calibri"/>
      <family val="2"/>
    </font>
    <font>
      <b/>
      <sz val="12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Calibri"/>
      <family val="2"/>
    </font>
    <font>
      <b/>
      <sz val="8"/>
      <color rgb="FF000000"/>
      <name val="Calibri"/>
      <family val="2"/>
    </font>
    <font>
      <b/>
      <sz val="11"/>
      <color rgb="FFDC143C"/>
      <name val="Arial"/>
      <family val="2"/>
    </font>
    <font>
      <b/>
      <sz val="12"/>
      <color rgb="FFDC143C"/>
      <name val="Calibri"/>
      <family val="2"/>
    </font>
    <font>
      <b/>
      <sz val="10"/>
      <color rgb="FF000000"/>
      <name val="Calibri"/>
      <family val="2"/>
    </font>
    <font>
      <b/>
      <sz val="9"/>
      <color rgb="FFCE181E"/>
      <name val="Calibri"/>
      <family val="2"/>
    </font>
    <font>
      <b/>
      <sz val="11"/>
      <color rgb="FFCE181E"/>
      <name val="Arial"/>
      <family val="2"/>
    </font>
    <font>
      <b/>
      <sz val="11"/>
      <color rgb="FF000000"/>
      <name val="Arial"/>
      <family val="2"/>
    </font>
    <font>
      <b/>
      <sz val="11"/>
      <color rgb="FF305496"/>
      <name val="Arial"/>
      <family val="2"/>
    </font>
    <font>
      <b/>
      <sz val="10"/>
      <color rgb="FF305496"/>
      <name val="Arial"/>
      <family val="2"/>
    </font>
    <font>
      <b/>
      <sz val="12"/>
      <color rgb="FFFF0000"/>
      <name val="Arial"/>
      <family val="2"/>
    </font>
    <font>
      <b/>
      <sz val="12"/>
      <color rgb="FFFF0000"/>
      <name val="Calibri"/>
      <family val="2"/>
    </font>
    <font>
      <b/>
      <sz val="10"/>
      <color rgb="FF000000"/>
      <name val="Arial"/>
      <family val="2"/>
    </font>
    <font>
      <b/>
      <sz val="12"/>
      <color rgb="FF525252"/>
      <name val="Arial"/>
      <family val="2"/>
    </font>
    <font>
      <b/>
      <sz val="11"/>
      <color rgb="FF808080"/>
      <name val="Arial"/>
      <family val="2"/>
    </font>
    <font>
      <b/>
      <sz val="12"/>
      <color rgb="FF808080"/>
      <name val="Arial"/>
      <family val="2"/>
    </font>
    <font>
      <b/>
      <sz val="9"/>
      <color rgb="FF002060"/>
      <name val="Arial"/>
      <family val="2"/>
    </font>
    <font>
      <b/>
      <sz val="11"/>
      <color rgb="FF002060"/>
      <name val="Arial"/>
      <family val="2"/>
    </font>
    <font>
      <b/>
      <sz val="10"/>
      <color rgb="FF002060"/>
      <name val="Arial"/>
      <family val="2"/>
    </font>
    <font>
      <b/>
      <sz val="9"/>
      <color rgb="FF000000"/>
      <name val="Calibri"/>
      <family val="2"/>
    </font>
    <font>
      <b/>
      <sz val="9"/>
      <color rgb="FFDC143C"/>
      <name val="Arial"/>
      <family val="2"/>
    </font>
    <font>
      <b/>
      <sz val="9"/>
      <color rgb="FF000000"/>
      <name val="Arial"/>
      <family val="2"/>
    </font>
    <font>
      <b/>
      <sz val="11"/>
      <color rgb="FF0000FF"/>
      <name val="Arial"/>
      <family val="2"/>
    </font>
    <font>
      <b/>
      <sz val="11"/>
      <color rgb="FFFF0000"/>
      <name val="Arial"/>
      <family val="2"/>
    </font>
    <font>
      <b/>
      <u/>
      <sz val="12"/>
      <color rgb="FF3FAF46"/>
      <name val="Calibri"/>
      <family val="2"/>
    </font>
    <font>
      <b/>
      <sz val="10"/>
      <color rgb="FFDC143C"/>
      <name val="Arial"/>
      <family val="2"/>
    </font>
    <font>
      <b/>
      <sz val="9"/>
      <color rgb="FFFF0000"/>
      <name val="Arial"/>
      <family val="2"/>
    </font>
    <font>
      <b/>
      <sz val="12"/>
      <color rgb="FFC00000"/>
      <name val="Arial"/>
      <family val="2"/>
    </font>
    <font>
      <b/>
      <sz val="11"/>
      <color rgb="FFC00000"/>
      <name val="Arial"/>
      <family val="2"/>
    </font>
    <font>
      <b/>
      <sz val="8"/>
      <color rgb="FF000000"/>
      <name val="Arial"/>
      <family val="2"/>
    </font>
    <font>
      <b/>
      <sz val="11"/>
      <color rgb="FF000000"/>
      <name val="Candara"/>
      <family val="2"/>
    </font>
    <font>
      <b/>
      <sz val="11"/>
      <color rgb="FF0070C0"/>
      <name val="Arial"/>
      <family val="2"/>
    </font>
    <font>
      <b/>
      <sz val="10"/>
      <color rgb="FF0070C0"/>
      <name val="Arial"/>
      <family val="2"/>
    </font>
    <font>
      <b/>
      <sz val="9"/>
      <color rgb="FFFF0000"/>
      <name val="Calibri"/>
      <family val="2"/>
    </font>
    <font>
      <b/>
      <sz val="10"/>
      <color rgb="FFC00000"/>
      <name val="Arial"/>
      <family val="2"/>
    </font>
    <font>
      <b/>
      <sz val="11"/>
      <color rgb="FF4472C4"/>
      <name val="Arial"/>
      <family val="2"/>
    </font>
    <font>
      <b/>
      <sz val="12"/>
      <color rgb="FF4472C4"/>
      <name val="Arial"/>
      <family val="2"/>
    </font>
    <font>
      <b/>
      <u/>
      <sz val="12"/>
      <color rgb="FF3465A4"/>
      <name val="Calibri"/>
      <family val="2"/>
    </font>
    <font>
      <b/>
      <sz val="9"/>
      <color rgb="FFC00000"/>
      <name val="Arial"/>
      <family val="2"/>
    </font>
    <font>
      <b/>
      <sz val="9"/>
      <color rgb="FFCE181E"/>
      <name val="Arial"/>
      <family val="2"/>
    </font>
    <font>
      <b/>
      <sz val="11"/>
      <color rgb="FF156082"/>
      <name val="Calibri"/>
      <family val="2"/>
    </font>
    <font>
      <b/>
      <sz val="11"/>
      <color rgb="FF4D93D9"/>
      <name val="Arial"/>
      <family val="2"/>
    </font>
    <font>
      <b/>
      <sz val="9"/>
      <color rgb="FF305496"/>
      <name val="Arial"/>
      <family val="2"/>
    </font>
    <font>
      <b/>
      <sz val="11"/>
      <color rgb="FF161616"/>
      <name val="Arial"/>
      <family val="2"/>
    </font>
    <font>
      <b/>
      <sz val="8"/>
      <color rgb="FFDC143C"/>
      <name val="Arial"/>
      <family val="2"/>
    </font>
    <font>
      <b/>
      <sz val="10"/>
      <color rgb="FFFF0000"/>
      <name val="Arial"/>
      <family val="2"/>
    </font>
    <font>
      <b/>
      <sz val="12"/>
      <color rgb="FFDC143C"/>
      <name val="Arial"/>
      <family val="2"/>
    </font>
    <font>
      <b/>
      <sz val="11"/>
      <color rgb="FFFF0000"/>
      <name val="Calibri"/>
      <family val="2"/>
    </font>
    <font>
      <b/>
      <sz val="10"/>
      <color rgb="FF0E2841"/>
      <name val="Arial"/>
      <family val="2"/>
    </font>
    <font>
      <b/>
      <i/>
      <sz val="11"/>
      <color rgb="FF156082"/>
      <name val="Arial"/>
      <family val="2"/>
    </font>
    <font>
      <b/>
      <sz val="11"/>
      <color theme="3" tint="0.499984740745262"/>
      <name val="Arial"/>
      <family val="2"/>
    </font>
    <font>
      <b/>
      <sz val="7"/>
      <color rgb="FFFF000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theme="3" tint="0.249977111117893"/>
      <name val="Arial"/>
      <family val="2"/>
    </font>
    <font>
      <b/>
      <sz val="11"/>
      <color theme="3" tint="0.249977111117893"/>
      <name val="Amasis MT Pro"/>
      <family val="1"/>
    </font>
    <font>
      <b/>
      <sz val="12"/>
      <color theme="3" tint="0.249977111117893"/>
      <name val="Amasis MT Pro"/>
      <family val="1"/>
    </font>
    <font>
      <b/>
      <sz val="8"/>
      <color rgb="FFFF0000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rgb="FF000000"/>
      <name val="Arial"/>
      <family val="2"/>
    </font>
    <font>
      <b/>
      <u/>
      <sz val="11"/>
      <color rgb="FF1E90FF"/>
      <name val="Arial"/>
      <family val="2"/>
    </font>
    <font>
      <sz val="11"/>
      <color rgb="FF1E90FF"/>
      <name val="Arial"/>
      <family val="2"/>
    </font>
    <font>
      <sz val="11"/>
      <color rgb="FF2A6099"/>
      <name val="Arial"/>
      <family val="2"/>
    </font>
    <font>
      <b/>
      <sz val="11"/>
      <color rgb="FF006400"/>
      <name val="Arial"/>
      <family val="2"/>
    </font>
    <font>
      <b/>
      <sz val="11"/>
      <color rgb="FF800080"/>
      <name val="Arial"/>
      <family val="2"/>
    </font>
    <font>
      <sz val="11"/>
      <color rgb="FF808080"/>
      <name val="Arial"/>
      <family val="2"/>
    </font>
    <font>
      <sz val="11"/>
      <color rgb="FF800080"/>
      <name val="Arial"/>
      <family val="2"/>
    </font>
    <font>
      <b/>
      <sz val="11"/>
      <color rgb="FF0000CD"/>
      <name val="Arial"/>
      <family val="2"/>
    </font>
    <font>
      <b/>
      <sz val="11"/>
      <color rgb="FF1E6A39"/>
      <name val="Arial"/>
      <family val="2"/>
    </font>
    <font>
      <b/>
      <sz val="11"/>
      <color rgb="FF8B008B"/>
      <name val="Arial"/>
      <family val="2"/>
    </font>
    <font>
      <sz val="10"/>
      <color rgb="FF000000"/>
      <name val="Arial"/>
      <family val="2"/>
    </font>
    <font>
      <b/>
      <sz val="11"/>
      <color rgb="FF275317"/>
      <name val="Arial"/>
      <family val="2"/>
    </font>
    <font>
      <b/>
      <sz val="11"/>
      <color rgb="FF2A6099"/>
      <name val="Arial"/>
      <family val="2"/>
    </font>
    <font>
      <b/>
      <sz val="11"/>
      <color rgb="FFB22222"/>
      <name val="Arial"/>
      <family val="2"/>
    </font>
    <font>
      <b/>
      <sz val="11"/>
      <color rgb="FF375623"/>
      <name val="Arial"/>
      <family val="2"/>
    </font>
    <font>
      <b/>
      <sz val="12"/>
      <color rgb="FF375623"/>
      <name val="Arial"/>
      <family val="2"/>
    </font>
    <font>
      <b/>
      <sz val="11"/>
      <color theme="8" tint="-0.249977111117893"/>
      <name val="Arial"/>
      <family val="2"/>
    </font>
    <font>
      <b/>
      <sz val="10"/>
      <color theme="8" tint="-0.249977111117893"/>
      <name val="Arial"/>
      <family val="2"/>
    </font>
    <font>
      <b/>
      <sz val="11"/>
      <color theme="5" tint="-0.249977111117893"/>
      <name val="Arial"/>
      <family val="2"/>
    </font>
    <font>
      <b/>
      <u/>
      <sz val="11"/>
      <color rgb="FFC71585"/>
      <name val="Arial"/>
      <family val="2"/>
    </font>
    <font>
      <sz val="11"/>
      <color rgb="FFC71585"/>
      <name val="Arial"/>
      <family val="2"/>
    </font>
    <font>
      <b/>
      <sz val="11"/>
      <color rgb="FF008000"/>
      <name val="Arial"/>
      <family val="2"/>
    </font>
    <font>
      <b/>
      <sz val="11"/>
      <color rgb="FF196B24"/>
      <name val="Arial"/>
      <family val="2"/>
    </font>
    <font>
      <b/>
      <u/>
      <sz val="11"/>
      <color rgb="FF191970"/>
      <name val="Arial"/>
      <family val="2"/>
    </font>
    <font>
      <sz val="11"/>
      <color rgb="FF191970"/>
      <name val="Arial"/>
      <family val="2"/>
    </font>
    <font>
      <sz val="11"/>
      <color rgb="FF696969"/>
      <name val="Arial"/>
      <family val="2"/>
    </font>
    <font>
      <b/>
      <sz val="11"/>
      <color rgb="FF696969"/>
      <name val="Arial"/>
      <family val="2"/>
    </font>
    <font>
      <sz val="10"/>
      <color theme="1"/>
      <name val="Aptos Narrow"/>
      <family val="2"/>
      <scheme val="minor"/>
    </font>
    <font>
      <b/>
      <sz val="11"/>
      <color rgb="FF12501A"/>
      <name val="Arial"/>
      <family val="2"/>
    </font>
    <font>
      <b/>
      <sz val="11"/>
      <color rgb="FF757171"/>
      <name val="Arial"/>
      <family val="2"/>
    </font>
    <font>
      <b/>
      <u/>
      <sz val="11"/>
      <color theme="8" tint="-0.249977111117893"/>
      <name val="Arial"/>
      <family val="2"/>
    </font>
    <font>
      <sz val="11"/>
      <color theme="8" tint="-0.249977111117893"/>
      <name val="Arial"/>
      <family val="2"/>
    </font>
    <font>
      <b/>
      <u/>
      <sz val="11"/>
      <color theme="5" tint="-0.499984740745262"/>
      <name val="Arial"/>
      <family val="2"/>
    </font>
    <font>
      <sz val="11"/>
      <color theme="5" tint="-0.499984740745262"/>
      <name val="Arial"/>
      <family val="2"/>
    </font>
    <font>
      <b/>
      <u/>
      <sz val="11"/>
      <color theme="3" tint="9.9978637043366805E-2"/>
      <name val="Arial"/>
      <family val="2"/>
    </font>
    <font>
      <sz val="11"/>
      <color theme="3" tint="9.9978637043366805E-2"/>
      <name val="Arial"/>
      <family val="2"/>
    </font>
    <font>
      <b/>
      <u/>
      <sz val="11"/>
      <color theme="4" tint="-0.249977111117893"/>
      <name val="Arial"/>
      <family val="2"/>
    </font>
    <font>
      <sz val="11"/>
      <color theme="4" tint="-0.249977111117893"/>
      <name val="Arial"/>
      <family val="2"/>
    </font>
    <font>
      <sz val="11"/>
      <color theme="4" tint="-0.249977111117893"/>
      <name val="Aptos Narrow"/>
      <family val="2"/>
      <scheme val="minor"/>
    </font>
    <font>
      <sz val="11"/>
      <color rgb="FF215C98"/>
      <name val="Arial"/>
      <family val="2"/>
    </font>
    <font>
      <sz val="11"/>
      <color rgb="FF375623"/>
      <name val="Arial"/>
      <family val="2"/>
    </font>
    <font>
      <b/>
      <sz val="11"/>
      <color theme="9" tint="-0.249977111117893"/>
      <name val="Arial"/>
      <family val="2"/>
    </font>
    <font>
      <b/>
      <sz val="11"/>
      <color rgb="FF7030A0"/>
      <name val="Arial"/>
      <family val="2"/>
    </font>
    <font>
      <b/>
      <sz val="12"/>
      <color theme="1"/>
      <name val="Aptos"/>
      <family val="2"/>
    </font>
    <font>
      <b/>
      <sz val="14"/>
      <color rgb="FF000000"/>
      <name val="Calibri"/>
      <family val="2"/>
    </font>
    <font>
      <b/>
      <sz val="12"/>
      <color theme="9" tint="-0.499984740745262"/>
      <name val="Arial"/>
      <family val="2"/>
    </font>
    <font>
      <b/>
      <sz val="12"/>
      <name val="Arial"/>
      <family val="2"/>
    </font>
    <font>
      <b/>
      <sz val="14"/>
      <name val="Calibri"/>
      <family val="2"/>
    </font>
    <font>
      <b/>
      <sz val="11"/>
      <color theme="3"/>
      <name val="Arial"/>
      <family val="2"/>
    </font>
    <font>
      <b/>
      <sz val="10"/>
      <color theme="1"/>
      <name val="Arial"/>
      <family val="2"/>
    </font>
    <font>
      <b/>
      <sz val="11"/>
      <color theme="6"/>
      <name val="Arial"/>
      <family val="2"/>
    </font>
    <font>
      <b/>
      <sz val="12"/>
      <color rgb="FF7030A0"/>
      <name val="Arial"/>
      <family val="2"/>
    </font>
    <font>
      <b/>
      <sz val="12"/>
      <color rgb="FFFF0000"/>
      <name val="Aptos"/>
      <family val="2"/>
    </font>
    <font>
      <sz val="11"/>
      <color rgb="FFFF0000"/>
      <name val="Arial"/>
      <family val="2"/>
    </font>
    <font>
      <b/>
      <sz val="10"/>
      <color rgb="FF7030A0"/>
      <name val="Arial"/>
      <family val="2"/>
    </font>
    <font>
      <b/>
      <sz val="10"/>
      <color theme="3" tint="0.249977111117893"/>
      <name val="Arial"/>
      <family val="2"/>
    </font>
    <font>
      <b/>
      <sz val="12"/>
      <name val="Aptos"/>
      <family val="2"/>
    </font>
    <font>
      <b/>
      <sz val="11"/>
      <color theme="9" tint="-0.499984740745262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Calibri"/>
      <family val="2"/>
    </font>
    <font>
      <b/>
      <sz val="10"/>
      <color theme="3" tint="9.9978637043366805E-2"/>
      <name val="Arial"/>
      <family val="2"/>
    </font>
    <font>
      <b/>
      <sz val="10"/>
      <color theme="4"/>
      <name val="Arial"/>
      <family val="2"/>
    </font>
    <font>
      <b/>
      <sz val="11"/>
      <color theme="4"/>
      <name val="Arial"/>
      <family val="2"/>
    </font>
    <font>
      <b/>
      <sz val="11"/>
      <color theme="5"/>
      <name val="Arial"/>
      <family val="2"/>
    </font>
    <font>
      <b/>
      <sz val="12"/>
      <color theme="3"/>
      <name val="Amasis MT Pro"/>
      <family val="1"/>
    </font>
    <font>
      <b/>
      <sz val="11"/>
      <color theme="8" tint="-0.499984740745262"/>
      <name val="Arial"/>
      <family val="2"/>
    </font>
    <font>
      <b/>
      <sz val="12"/>
      <color theme="8"/>
      <name val="Aptos Narrow"/>
      <family val="2"/>
      <scheme val="minor"/>
    </font>
    <font>
      <b/>
      <sz val="12"/>
      <color rgb="FF7030A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Segoe UI"/>
      <family val="2"/>
    </font>
    <font>
      <b/>
      <sz val="11"/>
      <color rgb="FFFF0000"/>
      <name val="Aptos Mono"/>
      <family val="3"/>
    </font>
    <font>
      <b/>
      <sz val="9"/>
      <color theme="1"/>
      <name val="Arial"/>
      <family val="2"/>
    </font>
    <font>
      <sz val="11"/>
      <name val="Arial"/>
      <family val="2"/>
    </font>
    <font>
      <b/>
      <sz val="11"/>
      <color rgb="FFFF0000"/>
      <name val="Bodoni MT"/>
      <family val="1"/>
    </font>
    <font>
      <b/>
      <sz val="12"/>
      <name val="Aptos Narrow"/>
      <family val="2"/>
      <scheme val="minor"/>
    </font>
    <font>
      <b/>
      <sz val="12"/>
      <color rgb="FF0070C0"/>
      <name val="Calibri"/>
      <family val="2"/>
    </font>
    <font>
      <b/>
      <sz val="12"/>
      <color rgb="FF0070C0"/>
      <name val="Arial"/>
      <family val="2"/>
    </font>
    <font>
      <b/>
      <sz val="12"/>
      <color rgb="FFC00000"/>
      <name val="Bell MT"/>
      <family val="1"/>
    </font>
    <font>
      <b/>
      <sz val="12"/>
      <color theme="8" tint="-0.249977111117893"/>
      <name val="Arial"/>
      <family val="2"/>
    </font>
    <font>
      <b/>
      <sz val="9"/>
      <name val="Arial"/>
      <family val="2"/>
    </font>
    <font>
      <b/>
      <sz val="10"/>
      <color theme="8" tint="-0.499984740745262"/>
      <name val="Arial"/>
      <family val="2"/>
    </font>
    <font>
      <b/>
      <sz val="10"/>
      <name val="Tahoma"/>
      <family val="2"/>
    </font>
    <font>
      <sz val="11"/>
      <name val="Aptos Narrow"/>
      <family val="2"/>
      <scheme val="minor"/>
    </font>
    <font>
      <b/>
      <sz val="9"/>
      <color rgb="FFEE0000"/>
      <name val="Arial"/>
      <family val="2"/>
    </font>
    <font>
      <b/>
      <sz val="9"/>
      <color rgb="FF7030A0"/>
      <name val="Arial"/>
      <family val="2"/>
    </font>
    <font>
      <b/>
      <sz val="11"/>
      <color rgb="FFEE0000"/>
      <name val="Arial"/>
      <family val="2"/>
    </font>
    <font>
      <b/>
      <sz val="11"/>
      <name val="Bodoni MT"/>
      <family val="1"/>
    </font>
    <font>
      <b/>
      <sz val="12"/>
      <color rgb="FFEE0000"/>
      <name val="Arial"/>
      <family val="2"/>
    </font>
    <font>
      <b/>
      <sz val="11"/>
      <color theme="5" tint="-0.499984740745262"/>
      <name val="Arial"/>
      <family val="2"/>
    </font>
    <font>
      <b/>
      <sz val="12"/>
      <color theme="1"/>
      <name val="Aptos Narrow"/>
      <family val="2"/>
      <scheme val="minor"/>
    </font>
    <font>
      <b/>
      <sz val="10"/>
      <color theme="5" tint="-0.499984740745262"/>
      <name val="Arial"/>
      <family val="2"/>
    </font>
    <font>
      <b/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0000CD"/>
      <name val="Arial"/>
    </font>
    <font>
      <b/>
      <sz val="11"/>
      <color rgb="FF8B008B"/>
      <name val="Arial"/>
    </font>
    <font>
      <b/>
      <sz val="11"/>
      <color rgb="FFDC143C"/>
      <name val="Arial"/>
    </font>
    <font>
      <b/>
      <sz val="11"/>
      <color rgb="FF006400"/>
      <name val="Arial"/>
    </font>
    <font>
      <b/>
      <sz val="11"/>
      <color rgb="FF000000"/>
      <name val="Arial"/>
    </font>
    <font>
      <b/>
      <sz val="11"/>
      <color theme="8"/>
      <name val="Arial"/>
    </font>
    <font>
      <b/>
      <sz val="11"/>
      <color rgb="FF375623"/>
      <name val="Arial"/>
    </font>
    <font>
      <b/>
      <sz val="10"/>
      <color rgb="FF000000"/>
      <name val="Arial"/>
    </font>
    <font>
      <b/>
      <i/>
      <sz val="10"/>
      <color rgb="FF7030A0"/>
      <name val="Arial"/>
      <family val="2"/>
    </font>
    <font>
      <sz val="11"/>
      <color rgb="FF242424"/>
      <name val="Segoe UI"/>
      <charset val="1"/>
    </font>
    <font>
      <b/>
      <sz val="10"/>
      <color theme="3"/>
      <name val="Arial"/>
      <family val="2"/>
    </font>
    <font>
      <b/>
      <sz val="9"/>
      <color rgb="FF275317"/>
      <name val="Arial"/>
    </font>
    <font>
      <b/>
      <sz val="9"/>
      <name val="Arial"/>
    </font>
    <font>
      <b/>
      <sz val="10"/>
      <color rgb="FF275317"/>
      <name val="Arial"/>
    </font>
    <font>
      <b/>
      <sz val="12"/>
      <color rgb="FF000000"/>
      <name val="Aptos Narrow"/>
      <charset val="1"/>
    </font>
    <font>
      <b/>
      <sz val="12"/>
      <color rgb="FF242424"/>
      <name val="Aptos Narrow"/>
      <charset val="1"/>
    </font>
    <font>
      <b/>
      <sz val="12"/>
      <color theme="3"/>
      <name val="Arial"/>
    </font>
    <font>
      <b/>
      <sz val="14"/>
      <color rgb="FF000000"/>
      <name val="Arial"/>
      <family val="2"/>
    </font>
    <font>
      <b/>
      <sz val="14"/>
      <color rgb="FF000000"/>
      <name val="Arial"/>
    </font>
    <font>
      <b/>
      <sz val="12"/>
      <color rgb="FFFF0000"/>
      <name val="Aptos Narrow"/>
      <family val="2"/>
      <scheme val="minor"/>
    </font>
    <font>
      <b/>
      <sz val="12"/>
      <color theme="4"/>
      <name val="Aptos Narrow"/>
      <family val="2"/>
      <scheme val="minor"/>
    </font>
    <font>
      <b/>
      <sz val="12"/>
      <color rgb="FF000000"/>
      <name val="Aptos"/>
      <family val="2"/>
    </font>
  </fonts>
  <fills count="32">
    <fill>
      <patternFill patternType="none"/>
    </fill>
    <fill>
      <patternFill patternType="gray125"/>
    </fill>
    <fill>
      <patternFill patternType="solid">
        <fgColor rgb="FFFFF100"/>
        <bgColor rgb="FFFFF100"/>
      </patternFill>
    </fill>
    <fill>
      <patternFill patternType="solid">
        <fgColor rgb="FFE6E6FA"/>
        <bgColor rgb="FFE6E6FA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EDCF3"/>
        <bgColor rgb="FFFEDCF3"/>
      </patternFill>
    </fill>
    <fill>
      <patternFill patternType="solid">
        <fgColor rgb="FFFBE2D5"/>
        <bgColor rgb="FFFBE2D5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5FDC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theme="3" tint="0.89999084444715716"/>
        <bgColor rgb="FFE6E6FA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89999084444715716"/>
        <bgColor rgb="FFFEDCF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7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rgb="FF000000"/>
      </left>
      <right style="thin">
        <color indexed="64"/>
      </right>
      <top style="double">
        <color rgb="FF000000"/>
      </top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/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rgb="FF000000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rgb="FF000000"/>
      </right>
      <top/>
      <bottom style="double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 style="double">
        <color rgb="FF000000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indexed="64"/>
      </left>
      <right/>
      <top style="thin">
        <color rgb="FF000000"/>
      </top>
      <bottom style="double">
        <color indexed="64"/>
      </bottom>
      <diagonal/>
    </border>
    <border>
      <left style="thin">
        <color indexed="64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rgb="FF000000"/>
      </left>
      <right style="thin">
        <color rgb="FF000000"/>
      </right>
      <top style="thin">
        <color indexed="64"/>
      </top>
      <bottom style="double">
        <color indexed="64"/>
      </bottom>
      <diagonal/>
    </border>
    <border>
      <left style="double">
        <color rgb="FF000000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64" fillId="0" borderId="0" applyFont="0" applyFill="0" applyBorder="0" applyAlignment="0" applyProtection="0"/>
    <xf numFmtId="0" fontId="159" fillId="0" borderId="0" applyNumberFormat="0" applyFill="0" applyBorder="0" applyAlignment="0" applyProtection="0"/>
  </cellStyleXfs>
  <cellXfs count="1209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3" fillId="3" borderId="3" xfId="0" applyFont="1" applyFill="1" applyBorder="1"/>
    <xf numFmtId="0" fontId="4" fillId="0" borderId="0" xfId="0" applyFont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5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1" xfId="0" applyFont="1" applyBorder="1"/>
    <xf numFmtId="0" fontId="7" fillId="0" borderId="3" xfId="0" applyFont="1" applyBorder="1"/>
    <xf numFmtId="0" fontId="6" fillId="0" borderId="9" xfId="0" applyFont="1" applyBorder="1"/>
    <xf numFmtId="0" fontId="4" fillId="0" borderId="2" xfId="0" applyFont="1" applyBorder="1"/>
    <xf numFmtId="0" fontId="4" fillId="0" borderId="10" xfId="0" applyFont="1" applyBorder="1"/>
    <xf numFmtId="0" fontId="7" fillId="0" borderId="6" xfId="0" applyFont="1" applyBorder="1"/>
    <xf numFmtId="0" fontId="4" fillId="0" borderId="11" xfId="0" applyFont="1" applyBorder="1"/>
    <xf numFmtId="0" fontId="8" fillId="0" borderId="6" xfId="0" applyFont="1" applyBorder="1"/>
    <xf numFmtId="0" fontId="9" fillId="0" borderId="11" xfId="0" applyFont="1" applyBorder="1"/>
    <xf numFmtId="0" fontId="10" fillId="0" borderId="11" xfId="0" applyFont="1" applyBorder="1"/>
    <xf numFmtId="0" fontId="5" fillId="0" borderId="7" xfId="0" applyFont="1" applyBorder="1"/>
    <xf numFmtId="0" fontId="7" fillId="0" borderId="2" xfId="0" applyFont="1" applyBorder="1"/>
    <xf numFmtId="0" fontId="11" fillId="0" borderId="3" xfId="0" applyFont="1" applyBorder="1"/>
    <xf numFmtId="0" fontId="4" fillId="0" borderId="3" xfId="0" applyFont="1" applyBorder="1"/>
    <xf numFmtId="0" fontId="4" fillId="0" borderId="9" xfId="0" applyFont="1" applyBorder="1"/>
    <xf numFmtId="0" fontId="7" fillId="0" borderId="7" xfId="0" applyFont="1" applyBorder="1"/>
    <xf numFmtId="0" fontId="12" fillId="4" borderId="6" xfId="0" applyFont="1" applyFill="1" applyBorder="1"/>
    <xf numFmtId="0" fontId="4" fillId="4" borderId="7" xfId="0" applyFont="1" applyFill="1" applyBorder="1"/>
    <xf numFmtId="0" fontId="4" fillId="4" borderId="0" xfId="0" applyFont="1" applyFill="1"/>
    <xf numFmtId="0" fontId="12" fillId="4" borderId="3" xfId="0" applyFont="1" applyFill="1" applyBorder="1"/>
    <xf numFmtId="0" fontId="11" fillId="4" borderId="6" xfId="0" applyFont="1" applyFill="1" applyBorder="1"/>
    <xf numFmtId="0" fontId="4" fillId="4" borderId="6" xfId="0" applyFont="1" applyFill="1" applyBorder="1"/>
    <xf numFmtId="0" fontId="4" fillId="4" borderId="3" xfId="0" applyFont="1" applyFill="1" applyBorder="1"/>
    <xf numFmtId="0" fontId="4" fillId="4" borderId="9" xfId="0" applyFont="1" applyFill="1" applyBorder="1"/>
    <xf numFmtId="0" fontId="29" fillId="2" borderId="2" xfId="0" applyFont="1" applyFill="1" applyBorder="1"/>
    <xf numFmtId="0" fontId="2" fillId="3" borderId="6" xfId="0" applyFont="1" applyFill="1" applyBorder="1"/>
    <xf numFmtId="0" fontId="2" fillId="3" borderId="7" xfId="0" applyFont="1" applyFill="1" applyBorder="1"/>
    <xf numFmtId="0" fontId="3" fillId="3" borderId="6" xfId="0" applyFont="1" applyFill="1" applyBorder="1"/>
    <xf numFmtId="0" fontId="42" fillId="2" borderId="2" xfId="0" applyFont="1" applyFill="1" applyBorder="1"/>
    <xf numFmtId="0" fontId="13" fillId="5" borderId="8" xfId="0" applyFont="1" applyFill="1" applyBorder="1"/>
    <xf numFmtId="0" fontId="12" fillId="5" borderId="7" xfId="0" applyFont="1" applyFill="1" applyBorder="1"/>
    <xf numFmtId="0" fontId="12" fillId="5" borderId="6" xfId="0" applyFont="1" applyFill="1" applyBorder="1"/>
    <xf numFmtId="0" fontId="4" fillId="5" borderId="7" xfId="0" applyFont="1" applyFill="1" applyBorder="1"/>
    <xf numFmtId="0" fontId="4" fillId="5" borderId="0" xfId="0" applyFont="1" applyFill="1"/>
    <xf numFmtId="0" fontId="4" fillId="5" borderId="8" xfId="0" applyFont="1" applyFill="1" applyBorder="1"/>
    <xf numFmtId="0" fontId="14" fillId="5" borderId="2" xfId="0" applyFont="1" applyFill="1" applyBorder="1"/>
    <xf numFmtId="0" fontId="4" fillId="5" borderId="3" xfId="0" applyFont="1" applyFill="1" applyBorder="1"/>
    <xf numFmtId="0" fontId="15" fillId="5" borderId="3" xfId="0" applyFont="1" applyFill="1" applyBorder="1"/>
    <xf numFmtId="0" fontId="16" fillId="5" borderId="6" xfId="0" applyFont="1" applyFill="1" applyBorder="1"/>
    <xf numFmtId="0" fontId="5" fillId="5" borderId="3" xfId="0" applyFont="1" applyFill="1" applyBorder="1"/>
    <xf numFmtId="0" fontId="14" fillId="5" borderId="8" xfId="0" applyFont="1" applyFill="1" applyBorder="1"/>
    <xf numFmtId="0" fontId="9" fillId="5" borderId="6" xfId="0" applyFont="1" applyFill="1" applyBorder="1"/>
    <xf numFmtId="0" fontId="17" fillId="5" borderId="6" xfId="0" applyFont="1" applyFill="1" applyBorder="1"/>
    <xf numFmtId="0" fontId="4" fillId="5" borderId="2" xfId="0" applyFont="1" applyFill="1" applyBorder="1"/>
    <xf numFmtId="0" fontId="5" fillId="5" borderId="6" xfId="0" applyFont="1" applyFill="1" applyBorder="1"/>
    <xf numFmtId="0" fontId="18" fillId="5" borderId="3" xfId="0" applyFont="1" applyFill="1" applyBorder="1"/>
    <xf numFmtId="0" fontId="18" fillId="5" borderId="6" xfId="0" applyFont="1" applyFill="1" applyBorder="1"/>
    <xf numFmtId="0" fontId="12" fillId="5" borderId="3" xfId="0" applyFont="1" applyFill="1" applyBorder="1"/>
    <xf numFmtId="0" fontId="4" fillId="5" borderId="11" xfId="0" applyFont="1" applyFill="1" applyBorder="1"/>
    <xf numFmtId="0" fontId="4" fillId="5" borderId="5" xfId="0" applyFont="1" applyFill="1" applyBorder="1"/>
    <xf numFmtId="0" fontId="19" fillId="5" borderId="6" xfId="0" applyFont="1" applyFill="1" applyBorder="1"/>
    <xf numFmtId="0" fontId="20" fillId="5" borderId="6" xfId="0" applyFont="1" applyFill="1" applyBorder="1"/>
    <xf numFmtId="0" fontId="4" fillId="5" borderId="6" xfId="0" applyFont="1" applyFill="1" applyBorder="1"/>
    <xf numFmtId="0" fontId="21" fillId="5" borderId="5" xfId="0" applyFont="1" applyFill="1" applyBorder="1"/>
    <xf numFmtId="0" fontId="21" fillId="5" borderId="6" xfId="0" applyFont="1" applyFill="1" applyBorder="1"/>
    <xf numFmtId="0" fontId="22" fillId="5" borderId="6" xfId="0" applyFont="1" applyFill="1" applyBorder="1"/>
    <xf numFmtId="0" fontId="23" fillId="5" borderId="6" xfId="0" applyFont="1" applyFill="1" applyBorder="1"/>
    <xf numFmtId="0" fontId="22" fillId="5" borderId="5" xfId="0" applyFont="1" applyFill="1" applyBorder="1"/>
    <xf numFmtId="0" fontId="22" fillId="5" borderId="7" xfId="0" applyFont="1" applyFill="1" applyBorder="1"/>
    <xf numFmtId="0" fontId="17" fillId="5" borderId="5" xfId="0" applyFont="1" applyFill="1" applyBorder="1"/>
    <xf numFmtId="0" fontId="7" fillId="5" borderId="8" xfId="0" applyFont="1" applyFill="1" applyBorder="1"/>
    <xf numFmtId="0" fontId="7" fillId="5" borderId="7" xfId="0" applyFont="1" applyFill="1" applyBorder="1"/>
    <xf numFmtId="0" fontId="11" fillId="5" borderId="6" xfId="0" applyFont="1" applyFill="1" applyBorder="1"/>
    <xf numFmtId="0" fontId="11" fillId="5" borderId="2" xfId="0" applyFont="1" applyFill="1" applyBorder="1"/>
    <xf numFmtId="0" fontId="11" fillId="5" borderId="3" xfId="0" applyFont="1" applyFill="1" applyBorder="1"/>
    <xf numFmtId="0" fontId="24" fillId="5" borderId="9" xfId="0" applyFont="1" applyFill="1" applyBorder="1"/>
    <xf numFmtId="0" fontId="11" fillId="5" borderId="5" xfId="0" applyFont="1" applyFill="1" applyBorder="1"/>
    <xf numFmtId="0" fontId="24" fillId="5" borderId="11" xfId="0" applyFont="1" applyFill="1" applyBorder="1"/>
    <xf numFmtId="0" fontId="12" fillId="5" borderId="5" xfId="0" applyFont="1" applyFill="1" applyBorder="1"/>
    <xf numFmtId="0" fontId="12" fillId="5" borderId="6" xfId="0" applyFont="1" applyFill="1" applyBorder="1" applyAlignment="1">
      <alignment wrapText="1"/>
    </xf>
    <xf numFmtId="0" fontId="17" fillId="5" borderId="11" xfId="0" applyFont="1" applyFill="1" applyBorder="1"/>
    <xf numFmtId="0" fontId="17" fillId="5" borderId="11" xfId="0" applyFont="1" applyFill="1" applyBorder="1" applyAlignment="1">
      <alignment wrapText="1"/>
    </xf>
    <xf numFmtId="0" fontId="7" fillId="5" borderId="6" xfId="0" applyFont="1" applyFill="1" applyBorder="1"/>
    <xf numFmtId="0" fontId="13" fillId="5" borderId="6" xfId="0" applyFont="1" applyFill="1" applyBorder="1"/>
    <xf numFmtId="0" fontId="7" fillId="5" borderId="11" xfId="0" applyFont="1" applyFill="1" applyBorder="1"/>
    <xf numFmtId="0" fontId="11" fillId="5" borderId="11" xfId="0" applyFont="1" applyFill="1" applyBorder="1"/>
    <xf numFmtId="0" fontId="26" fillId="5" borderId="6" xfId="0" applyFont="1" applyFill="1" applyBorder="1"/>
    <xf numFmtId="0" fontId="27" fillId="5" borderId="5" xfId="0" applyFont="1" applyFill="1" applyBorder="1"/>
    <xf numFmtId="0" fontId="27" fillId="5" borderId="6" xfId="0" applyFont="1" applyFill="1" applyBorder="1"/>
    <xf numFmtId="0" fontId="28" fillId="5" borderId="6" xfId="0" applyFont="1" applyFill="1" applyBorder="1"/>
    <xf numFmtId="0" fontId="4" fillId="5" borderId="10" xfId="0" applyFont="1" applyFill="1" applyBorder="1"/>
    <xf numFmtId="0" fontId="12" fillId="5" borderId="2" xfId="0" applyFont="1" applyFill="1" applyBorder="1"/>
    <xf numFmtId="0" fontId="3" fillId="5" borderId="3" xfId="0" applyFont="1" applyFill="1" applyBorder="1" applyAlignment="1">
      <alignment wrapText="1"/>
    </xf>
    <xf numFmtId="0" fontId="30" fillId="5" borderId="6" xfId="0" applyFont="1" applyFill="1" applyBorder="1" applyAlignment="1">
      <alignment wrapText="1"/>
    </xf>
    <xf numFmtId="0" fontId="32" fillId="5" borderId="6" xfId="0" applyFont="1" applyFill="1" applyBorder="1"/>
    <xf numFmtId="0" fontId="33" fillId="5" borderId="6" xfId="0" applyFont="1" applyFill="1" applyBorder="1"/>
    <xf numFmtId="0" fontId="34" fillId="5" borderId="6" xfId="0" applyFont="1" applyFill="1" applyBorder="1"/>
    <xf numFmtId="0" fontId="35" fillId="5" borderId="6" xfId="0" applyFont="1" applyFill="1" applyBorder="1" applyAlignment="1">
      <alignment wrapText="1"/>
    </xf>
    <xf numFmtId="0" fontId="26" fillId="5" borderId="6" xfId="0" applyFont="1" applyFill="1" applyBorder="1" applyAlignment="1">
      <alignment wrapText="1"/>
    </xf>
    <xf numFmtId="0" fontId="3" fillId="5" borderId="6" xfId="0" applyFont="1" applyFill="1" applyBorder="1"/>
    <xf numFmtId="0" fontId="15" fillId="5" borderId="6" xfId="0" applyFont="1" applyFill="1" applyBorder="1"/>
    <xf numFmtId="0" fontId="15" fillId="5" borderId="7" xfId="0" applyFont="1" applyFill="1" applyBorder="1"/>
    <xf numFmtId="0" fontId="3" fillId="5" borderId="7" xfId="0" applyFont="1" applyFill="1" applyBorder="1"/>
    <xf numFmtId="0" fontId="17" fillId="5" borderId="6" xfId="0" applyFont="1" applyFill="1" applyBorder="1" applyAlignment="1">
      <alignment wrapText="1"/>
    </xf>
    <xf numFmtId="0" fontId="5" fillId="5" borderId="6" xfId="0" applyFont="1" applyFill="1" applyBorder="1" applyAlignment="1">
      <alignment wrapText="1"/>
    </xf>
    <xf numFmtId="0" fontId="36" fillId="5" borderId="5" xfId="0" applyFont="1" applyFill="1" applyBorder="1"/>
    <xf numFmtId="0" fontId="36" fillId="5" borderId="6" xfId="0" applyFont="1" applyFill="1" applyBorder="1"/>
    <xf numFmtId="0" fontId="37" fillId="5" borderId="6" xfId="0" applyFont="1" applyFill="1" applyBorder="1" applyAlignment="1">
      <alignment wrapText="1"/>
    </xf>
    <xf numFmtId="0" fontId="36" fillId="5" borderId="6" xfId="0" applyFont="1" applyFill="1" applyBorder="1" applyAlignment="1">
      <alignment wrapText="1"/>
    </xf>
    <xf numFmtId="0" fontId="38" fillId="5" borderId="11" xfId="0" applyFont="1" applyFill="1" applyBorder="1"/>
    <xf numFmtId="0" fontId="39" fillId="5" borderId="6" xfId="0" applyFont="1" applyFill="1" applyBorder="1" applyAlignment="1">
      <alignment wrapText="1"/>
    </xf>
    <xf numFmtId="0" fontId="7" fillId="5" borderId="6" xfId="0" applyFont="1" applyFill="1" applyBorder="1" applyAlignment="1">
      <alignment wrapText="1"/>
    </xf>
    <xf numFmtId="0" fontId="33" fillId="5" borderId="0" xfId="0" applyFont="1" applyFill="1"/>
    <xf numFmtId="0" fontId="33" fillId="5" borderId="12" xfId="0" applyFont="1" applyFill="1" applyBorder="1"/>
    <xf numFmtId="0" fontId="41" fillId="5" borderId="7" xfId="0" applyFont="1" applyFill="1" applyBorder="1"/>
    <xf numFmtId="0" fontId="43" fillId="5" borderId="6" xfId="0" applyFont="1" applyFill="1" applyBorder="1" applyAlignment="1">
      <alignment wrapText="1"/>
    </xf>
    <xf numFmtId="0" fontId="41" fillId="5" borderId="6" xfId="0" applyFont="1" applyFill="1" applyBorder="1"/>
    <xf numFmtId="0" fontId="40" fillId="5" borderId="6" xfId="0" applyFont="1" applyFill="1" applyBorder="1"/>
    <xf numFmtId="0" fontId="44" fillId="5" borderId="6" xfId="0" applyFont="1" applyFill="1" applyBorder="1"/>
    <xf numFmtId="0" fontId="45" fillId="5" borderId="0" xfId="0" applyFont="1" applyFill="1" applyAlignment="1">
      <alignment wrapText="1"/>
    </xf>
    <xf numFmtId="0" fontId="22" fillId="5" borderId="6" xfId="0" applyFont="1" applyFill="1" applyBorder="1" applyAlignment="1">
      <alignment wrapText="1"/>
    </xf>
    <xf numFmtId="0" fontId="46" fillId="5" borderId="6" xfId="0" applyFont="1" applyFill="1" applyBorder="1"/>
    <xf numFmtId="0" fontId="22" fillId="5" borderId="3" xfId="0" applyFont="1" applyFill="1" applyBorder="1"/>
    <xf numFmtId="0" fontId="14" fillId="5" borderId="6" xfId="0" applyFont="1" applyFill="1" applyBorder="1"/>
    <xf numFmtId="0" fontId="47" fillId="5" borderId="6" xfId="0" applyFont="1" applyFill="1" applyBorder="1"/>
    <xf numFmtId="0" fontId="4" fillId="5" borderId="6" xfId="0" applyFont="1" applyFill="1" applyBorder="1" applyAlignment="1">
      <alignment wrapText="1"/>
    </xf>
    <xf numFmtId="0" fontId="48" fillId="5" borderId="6" xfId="0" applyFont="1" applyFill="1" applyBorder="1"/>
    <xf numFmtId="0" fontId="49" fillId="5" borderId="6" xfId="0" applyFont="1" applyFill="1" applyBorder="1"/>
    <xf numFmtId="0" fontId="11" fillId="5" borderId="6" xfId="0" applyFont="1" applyFill="1" applyBorder="1" applyAlignment="1">
      <alignment wrapText="1"/>
    </xf>
    <xf numFmtId="0" fontId="50" fillId="5" borderId="6" xfId="0" applyFont="1" applyFill="1" applyBorder="1"/>
    <xf numFmtId="0" fontId="51" fillId="5" borderId="6" xfId="0" applyFont="1" applyFill="1" applyBorder="1"/>
    <xf numFmtId="0" fontId="52" fillId="5" borderId="6" xfId="0" applyFont="1" applyFill="1" applyBorder="1"/>
    <xf numFmtId="0" fontId="28" fillId="5" borderId="6" xfId="0" applyFont="1" applyFill="1" applyBorder="1" applyAlignment="1">
      <alignment wrapText="1"/>
    </xf>
    <xf numFmtId="0" fontId="53" fillId="5" borderId="6" xfId="0" applyFont="1" applyFill="1" applyBorder="1" applyAlignment="1">
      <alignment wrapText="1"/>
    </xf>
    <xf numFmtId="0" fontId="50" fillId="5" borderId="6" xfId="0" applyFont="1" applyFill="1" applyBorder="1" applyAlignment="1">
      <alignment wrapText="1"/>
    </xf>
    <xf numFmtId="0" fontId="50" fillId="5" borderId="7" xfId="0" applyFont="1" applyFill="1" applyBorder="1"/>
    <xf numFmtId="0" fontId="52" fillId="5" borderId="1" xfId="0" applyFont="1" applyFill="1" applyBorder="1"/>
    <xf numFmtId="0" fontId="52" fillId="5" borderId="2" xfId="0" applyFont="1" applyFill="1" applyBorder="1"/>
    <xf numFmtId="0" fontId="52" fillId="5" borderId="3" xfId="0" applyFont="1" applyFill="1" applyBorder="1"/>
    <xf numFmtId="0" fontId="50" fillId="5" borderId="13" xfId="0" applyFont="1" applyFill="1" applyBorder="1"/>
    <xf numFmtId="0" fontId="52" fillId="5" borderId="10" xfId="0" applyFont="1" applyFill="1" applyBorder="1"/>
    <xf numFmtId="0" fontId="52" fillId="5" borderId="5" xfId="0" applyFont="1" applyFill="1" applyBorder="1"/>
    <xf numFmtId="0" fontId="54" fillId="5" borderId="6" xfId="0" applyFont="1" applyFill="1" applyBorder="1"/>
    <xf numFmtId="0" fontId="33" fillId="5" borderId="2" xfId="0" applyFont="1" applyFill="1" applyBorder="1"/>
    <xf numFmtId="0" fontId="41" fillId="5" borderId="2" xfId="0" applyFont="1" applyFill="1" applyBorder="1"/>
    <xf numFmtId="0" fontId="41" fillId="5" borderId="2" xfId="0" applyFont="1" applyFill="1" applyBorder="1" applyAlignment="1">
      <alignment wrapText="1"/>
    </xf>
    <xf numFmtId="0" fontId="42" fillId="2" borderId="5" xfId="0" applyFont="1" applyFill="1" applyBorder="1"/>
    <xf numFmtId="0" fontId="55" fillId="5" borderId="6" xfId="0" applyFont="1" applyFill="1" applyBorder="1" applyAlignment="1">
      <alignment horizontal="center"/>
    </xf>
    <xf numFmtId="0" fontId="28" fillId="5" borderId="6" xfId="0" applyFont="1" applyFill="1" applyBorder="1" applyAlignment="1">
      <alignment horizontal="center"/>
    </xf>
    <xf numFmtId="0" fontId="15" fillId="5" borderId="6" xfId="0" applyFont="1" applyFill="1" applyBorder="1" applyAlignment="1">
      <alignment horizontal="center"/>
    </xf>
    <xf numFmtId="0" fontId="33" fillId="10" borderId="6" xfId="0" applyFont="1" applyFill="1" applyBorder="1" applyAlignment="1">
      <alignment horizontal="center"/>
    </xf>
    <xf numFmtId="0" fontId="21" fillId="5" borderId="8" xfId="0" applyFont="1" applyFill="1" applyBorder="1"/>
    <xf numFmtId="0" fontId="28" fillId="5" borderId="14" xfId="0" applyFont="1" applyFill="1" applyBorder="1" applyAlignment="1">
      <alignment horizontal="center" wrapText="1"/>
    </xf>
    <xf numFmtId="0" fontId="28" fillId="5" borderId="5" xfId="0" applyFont="1" applyFill="1" applyBorder="1" applyAlignment="1">
      <alignment horizontal="center"/>
    </xf>
    <xf numFmtId="0" fontId="2" fillId="3" borderId="18" xfId="0" applyFont="1" applyFill="1" applyBorder="1"/>
    <xf numFmtId="0" fontId="2" fillId="3" borderId="19" xfId="0" applyFont="1" applyFill="1" applyBorder="1"/>
    <xf numFmtId="0" fontId="58" fillId="14" borderId="6" xfId="0" applyFont="1" applyFill="1" applyBorder="1" applyAlignment="1">
      <alignment horizontal="center" wrapText="1"/>
    </xf>
    <xf numFmtId="0" fontId="58" fillId="14" borderId="6" xfId="0" applyFont="1" applyFill="1" applyBorder="1" applyAlignment="1">
      <alignment horizontal="center"/>
    </xf>
    <xf numFmtId="0" fontId="59" fillId="15" borderId="6" xfId="0" applyFont="1" applyFill="1" applyBorder="1" applyAlignment="1">
      <alignment horizontal="center"/>
    </xf>
    <xf numFmtId="0" fontId="58" fillId="14" borderId="7" xfId="0" applyFont="1" applyFill="1" applyBorder="1" applyAlignment="1">
      <alignment horizontal="center"/>
    </xf>
    <xf numFmtId="0" fontId="17" fillId="15" borderId="14" xfId="0" applyFont="1" applyFill="1" applyBorder="1" applyAlignment="1">
      <alignment horizontal="center" wrapText="1"/>
    </xf>
    <xf numFmtId="0" fontId="33" fillId="5" borderId="6" xfId="0" applyFont="1" applyFill="1" applyBorder="1" applyAlignment="1">
      <alignment horizontal="center"/>
    </xf>
    <xf numFmtId="0" fontId="58" fillId="15" borderId="6" xfId="0" applyFont="1" applyFill="1" applyBorder="1" applyAlignment="1">
      <alignment horizontal="center"/>
    </xf>
    <xf numFmtId="0" fontId="39" fillId="5" borderId="6" xfId="0" applyFont="1" applyFill="1" applyBorder="1" applyAlignment="1">
      <alignment horizontal="center" wrapText="1"/>
    </xf>
    <xf numFmtId="0" fontId="39" fillId="5" borderId="11" xfId="0" applyFont="1" applyFill="1" applyBorder="1" applyAlignment="1">
      <alignment horizontal="center" wrapText="1"/>
    </xf>
    <xf numFmtId="0" fontId="57" fillId="5" borderId="14" xfId="0" applyFont="1" applyFill="1" applyBorder="1" applyAlignment="1">
      <alignment horizontal="center" wrapText="1"/>
    </xf>
    <xf numFmtId="0" fontId="58" fillId="6" borderId="6" xfId="0" applyFont="1" applyFill="1" applyBorder="1" applyAlignment="1">
      <alignment horizontal="center" wrapText="1"/>
    </xf>
    <xf numFmtId="0" fontId="58" fillId="6" borderId="6" xfId="0" applyFont="1" applyFill="1" applyBorder="1" applyAlignment="1">
      <alignment horizontal="center"/>
    </xf>
    <xf numFmtId="0" fontId="28" fillId="5" borderId="6" xfId="0" applyFont="1" applyFill="1" applyBorder="1" applyAlignment="1">
      <alignment horizontal="center" wrapText="1"/>
    </xf>
    <xf numFmtId="0" fontId="33" fillId="5" borderId="5" xfId="0" applyFont="1" applyFill="1" applyBorder="1" applyAlignment="1">
      <alignment horizontal="center"/>
    </xf>
    <xf numFmtId="0" fontId="57" fillId="7" borderId="14" xfId="0" applyFont="1" applyFill="1" applyBorder="1" applyAlignment="1">
      <alignment horizontal="center" wrapText="1"/>
    </xf>
    <xf numFmtId="0" fontId="57" fillId="7" borderId="6" xfId="0" applyFont="1" applyFill="1" applyBorder="1" applyAlignment="1">
      <alignment horizontal="center" wrapText="1"/>
    </xf>
    <xf numFmtId="0" fontId="66" fillId="0" borderId="0" xfId="0" applyFont="1"/>
    <xf numFmtId="0" fontId="68" fillId="0" borderId="0" xfId="0" applyFont="1"/>
    <xf numFmtId="0" fontId="67" fillId="0" borderId="0" xfId="0" applyFont="1"/>
    <xf numFmtId="0" fontId="69" fillId="0" borderId="0" xfId="0" applyFont="1"/>
    <xf numFmtId="0" fontId="70" fillId="0" borderId="0" xfId="0" applyFont="1"/>
    <xf numFmtId="0" fontId="11" fillId="0" borderId="0" xfId="0" applyFont="1" applyAlignment="1">
      <alignment horizontal="center"/>
    </xf>
    <xf numFmtId="0" fontId="71" fillId="0" borderId="0" xfId="0" applyFont="1" applyAlignment="1">
      <alignment horizontal="center"/>
    </xf>
    <xf numFmtId="0" fontId="12" fillId="0" borderId="7" xfId="0" applyFont="1" applyBorder="1" applyAlignment="1">
      <alignment horizontal="center"/>
    </xf>
    <xf numFmtId="165" fontId="72" fillId="0" borderId="0" xfId="0" applyNumberFormat="1" applyFont="1"/>
    <xf numFmtId="165" fontId="69" fillId="0" borderId="0" xfId="0" applyNumberFormat="1" applyFont="1" applyAlignment="1">
      <alignment horizontal="right"/>
    </xf>
    <xf numFmtId="165" fontId="73" fillId="0" borderId="0" xfId="0" applyNumberFormat="1" applyFont="1" applyAlignment="1">
      <alignment horizontal="right"/>
    </xf>
    <xf numFmtId="165" fontId="0" fillId="0" borderId="7" xfId="0" applyNumberFormat="1" applyBorder="1" applyAlignment="1">
      <alignment horizontal="right"/>
    </xf>
    <xf numFmtId="0" fontId="74" fillId="0" borderId="0" xfId="0" applyFont="1" applyAlignment="1">
      <alignment horizontal="right"/>
    </xf>
    <xf numFmtId="165" fontId="74" fillId="0" borderId="0" xfId="0" applyNumberFormat="1" applyFont="1" applyAlignment="1">
      <alignment horizontal="right"/>
    </xf>
    <xf numFmtId="0" fontId="75" fillId="0" borderId="0" xfId="0" applyFont="1"/>
    <xf numFmtId="0" fontId="76" fillId="0" borderId="0" xfId="0" applyFont="1" applyAlignment="1">
      <alignment horizontal="right"/>
    </xf>
    <xf numFmtId="165" fontId="76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165" fontId="7" fillId="0" borderId="0" xfId="0" applyNumberFormat="1" applyFont="1" applyAlignment="1">
      <alignment horizontal="right"/>
    </xf>
    <xf numFmtId="0" fontId="11" fillId="0" borderId="0" xfId="0" applyFont="1"/>
    <xf numFmtId="0" fontId="70" fillId="0" borderId="0" xfId="0" applyFont="1" applyAlignment="1">
      <alignment horizontal="right"/>
    </xf>
    <xf numFmtId="165" fontId="70" fillId="0" borderId="0" xfId="0" applyNumberFormat="1" applyFont="1" applyAlignment="1">
      <alignment horizontal="right"/>
    </xf>
    <xf numFmtId="0" fontId="12" fillId="0" borderId="0" xfId="0" applyFont="1" applyAlignment="1">
      <alignment horizontal="right"/>
    </xf>
    <xf numFmtId="166" fontId="12" fillId="0" borderId="0" xfId="0" applyNumberFormat="1" applyFont="1" applyAlignment="1">
      <alignment horizontal="right"/>
    </xf>
    <xf numFmtId="0" fontId="77" fillId="0" borderId="0" xfId="0" applyFont="1" applyAlignment="1">
      <alignment horizontal="right"/>
    </xf>
    <xf numFmtId="165" fontId="78" fillId="0" borderId="0" xfId="0" applyNumberFormat="1" applyFont="1" applyAlignment="1">
      <alignment horizontal="right"/>
    </xf>
    <xf numFmtId="0" fontId="69" fillId="0" borderId="0" xfId="0" applyFont="1" applyAlignment="1">
      <alignment horizontal="right"/>
    </xf>
    <xf numFmtId="0" fontId="73" fillId="0" borderId="0" xfId="0" applyFont="1" applyAlignment="1">
      <alignment horizontal="right"/>
    </xf>
    <xf numFmtId="0" fontId="0" fillId="0" borderId="7" xfId="0" applyBorder="1" applyAlignment="1">
      <alignment horizontal="right"/>
    </xf>
    <xf numFmtId="165" fontId="79" fillId="0" borderId="3" xfId="0" applyNumberFormat="1" applyFont="1" applyBorder="1" applyAlignment="1">
      <alignment horizontal="right"/>
    </xf>
    <xf numFmtId="165" fontId="71" fillId="0" borderId="20" xfId="0" applyNumberFormat="1" applyFont="1" applyBorder="1" applyAlignment="1">
      <alignment horizontal="right"/>
    </xf>
    <xf numFmtId="165" fontId="12" fillId="0" borderId="21" xfId="0" applyNumberFormat="1" applyFont="1" applyBorder="1" applyAlignment="1">
      <alignment horizontal="right"/>
    </xf>
    <xf numFmtId="0" fontId="80" fillId="0" borderId="0" xfId="0" applyFont="1"/>
    <xf numFmtId="165" fontId="82" fillId="16" borderId="0" xfId="0" applyNumberFormat="1" applyFont="1" applyFill="1" applyAlignment="1">
      <alignment horizontal="right"/>
    </xf>
    <xf numFmtId="165" fontId="19" fillId="0" borderId="9" xfId="0" applyNumberFormat="1" applyFont="1" applyBorder="1" applyAlignment="1">
      <alignment horizontal="right"/>
    </xf>
    <xf numFmtId="0" fontId="65" fillId="0" borderId="14" xfId="0" applyFont="1" applyBorder="1"/>
    <xf numFmtId="0" fontId="83" fillId="0" borderId="0" xfId="0" applyFont="1" applyAlignment="1">
      <alignment horizontal="right"/>
    </xf>
    <xf numFmtId="0" fontId="17" fillId="0" borderId="0" xfId="0" applyFont="1" applyAlignment="1">
      <alignment horizontal="right"/>
    </xf>
    <xf numFmtId="0" fontId="84" fillId="0" borderId="0" xfId="0" applyFont="1" applyAlignment="1">
      <alignment horizontal="right"/>
    </xf>
    <xf numFmtId="0" fontId="85" fillId="0" borderId="0" xfId="0" applyFont="1"/>
    <xf numFmtId="0" fontId="0" fillId="0" borderId="22" xfId="0" applyBorder="1"/>
    <xf numFmtId="0" fontId="0" fillId="0" borderId="24" xfId="0" applyBorder="1"/>
    <xf numFmtId="0" fontId="67" fillId="0" borderId="24" xfId="0" applyFont="1" applyBorder="1"/>
    <xf numFmtId="0" fontId="68" fillId="0" borderId="24" xfId="0" applyFont="1" applyBorder="1"/>
    <xf numFmtId="0" fontId="12" fillId="0" borderId="24" xfId="0" applyFont="1" applyBorder="1" applyAlignment="1">
      <alignment horizontal="center"/>
    </xf>
    <xf numFmtId="165" fontId="0" fillId="0" borderId="24" xfId="0" applyNumberFormat="1" applyBorder="1" applyAlignment="1">
      <alignment horizontal="right"/>
    </xf>
    <xf numFmtId="0" fontId="0" fillId="0" borderId="24" xfId="0" applyBorder="1" applyAlignment="1">
      <alignment horizontal="right"/>
    </xf>
    <xf numFmtId="165" fontId="12" fillId="0" borderId="25" xfId="0" applyNumberFormat="1" applyFont="1" applyBorder="1" applyAlignment="1">
      <alignment horizontal="right"/>
    </xf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4" xfId="0" applyBorder="1"/>
    <xf numFmtId="0" fontId="86" fillId="0" borderId="4" xfId="0" applyFont="1" applyBorder="1"/>
    <xf numFmtId="0" fontId="87" fillId="0" borderId="0" xfId="0" applyFont="1"/>
    <xf numFmtId="0" fontId="86" fillId="0" borderId="0" xfId="0" applyFont="1"/>
    <xf numFmtId="0" fontId="11" fillId="0" borderId="0" xfId="0" applyFont="1" applyAlignment="1">
      <alignment horizontal="right"/>
    </xf>
    <xf numFmtId="0" fontId="88" fillId="0" borderId="0" xfId="0" applyFont="1"/>
    <xf numFmtId="0" fontId="7" fillId="0" borderId="0" xfId="0" applyFont="1" applyAlignment="1">
      <alignment horizontal="center"/>
    </xf>
    <xf numFmtId="165" fontId="78" fillId="0" borderId="0" xfId="0" applyNumberFormat="1" applyFont="1"/>
    <xf numFmtId="165" fontId="70" fillId="0" borderId="0" xfId="0" applyNumberFormat="1" applyFont="1"/>
    <xf numFmtId="167" fontId="78" fillId="0" borderId="0" xfId="0" applyNumberFormat="1" applyFont="1" applyAlignment="1">
      <alignment horizontal="right"/>
    </xf>
    <xf numFmtId="165" fontId="81" fillId="16" borderId="0" xfId="0" applyNumberFormat="1" applyFont="1" applyFill="1" applyAlignment="1">
      <alignment horizontal="right"/>
    </xf>
    <xf numFmtId="0" fontId="0" fillId="0" borderId="29" xfId="0" applyBorder="1"/>
    <xf numFmtId="0" fontId="88" fillId="0" borderId="0" xfId="0" applyFont="1" applyAlignment="1">
      <alignment horizontal="left"/>
    </xf>
    <xf numFmtId="0" fontId="7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70" fillId="0" borderId="0" xfId="0" applyFont="1" applyAlignment="1">
      <alignment horizontal="left"/>
    </xf>
    <xf numFmtId="0" fontId="90" fillId="0" borderId="4" xfId="0" applyFont="1" applyBorder="1"/>
    <xf numFmtId="0" fontId="91" fillId="0" borderId="0" xfId="0" applyFont="1"/>
    <xf numFmtId="0" fontId="91" fillId="0" borderId="4" xfId="0" applyFont="1" applyBorder="1"/>
    <xf numFmtId="0" fontId="90" fillId="0" borderId="0" xfId="0" applyFont="1"/>
    <xf numFmtId="0" fontId="74" fillId="0" borderId="4" xfId="0" applyFont="1" applyBorder="1" applyAlignment="1">
      <alignment horizontal="right"/>
    </xf>
    <xf numFmtId="0" fontId="76" fillId="0" borderId="4" xfId="0" applyFont="1" applyBorder="1" applyAlignment="1">
      <alignment horizontal="right"/>
    </xf>
    <xf numFmtId="0" fontId="7" fillId="0" borderId="4" xfId="0" applyFont="1" applyBorder="1" applyAlignment="1">
      <alignment horizontal="right"/>
    </xf>
    <xf numFmtId="0" fontId="70" fillId="0" borderId="4" xfId="0" applyFont="1" applyBorder="1" applyAlignment="1">
      <alignment horizontal="right"/>
    </xf>
    <xf numFmtId="165" fontId="7" fillId="0" borderId="0" xfId="0" applyNumberFormat="1" applyFont="1" applyAlignment="1">
      <alignment horizontal="center"/>
    </xf>
    <xf numFmtId="0" fontId="0" fillId="0" borderId="30" xfId="0" applyBorder="1"/>
    <xf numFmtId="0" fontId="12" fillId="0" borderId="30" xfId="0" applyFont="1" applyBorder="1" applyAlignment="1">
      <alignment horizontal="right"/>
    </xf>
    <xf numFmtId="0" fontId="83" fillId="0" borderId="30" xfId="0" applyFont="1" applyBorder="1" applyAlignment="1">
      <alignment horizontal="right"/>
    </xf>
    <xf numFmtId="165" fontId="0" fillId="0" borderId="0" xfId="0" applyNumberFormat="1"/>
    <xf numFmtId="167" fontId="78" fillId="18" borderId="0" xfId="0" applyNumberFormat="1" applyFont="1" applyFill="1"/>
    <xf numFmtId="0" fontId="0" fillId="0" borderId="31" xfId="0" applyBorder="1"/>
    <xf numFmtId="0" fontId="0" fillId="0" borderId="32" xfId="0" applyBorder="1"/>
    <xf numFmtId="166" fontId="83" fillId="0" borderId="0" xfId="0" applyNumberFormat="1" applyFont="1" applyAlignment="1">
      <alignment horizontal="right"/>
    </xf>
    <xf numFmtId="165" fontId="92" fillId="0" borderId="0" xfId="0" applyNumberFormat="1" applyFont="1"/>
    <xf numFmtId="0" fontId="12" fillId="0" borderId="2" xfId="0" applyFont="1" applyBorder="1"/>
    <xf numFmtId="165" fontId="93" fillId="0" borderId="1" xfId="0" applyNumberFormat="1" applyFont="1" applyBorder="1" applyAlignment="1">
      <alignment horizontal="right"/>
    </xf>
    <xf numFmtId="165" fontId="78" fillId="16" borderId="0" xfId="0" applyNumberFormat="1" applyFont="1" applyFill="1" applyAlignment="1">
      <alignment horizontal="right"/>
    </xf>
    <xf numFmtId="165" fontId="33" fillId="19" borderId="0" xfId="0" applyNumberFormat="1" applyFont="1" applyFill="1" applyAlignment="1">
      <alignment horizontal="right"/>
    </xf>
    <xf numFmtId="167" fontId="28" fillId="18" borderId="0" xfId="0" applyNumberFormat="1" applyFont="1" applyFill="1"/>
    <xf numFmtId="0" fontId="12" fillId="0" borderId="0" xfId="0" applyFont="1" applyAlignment="1">
      <alignment horizontal="center"/>
    </xf>
    <xf numFmtId="0" fontId="67" fillId="0" borderId="4" xfId="0" applyFont="1" applyBorder="1"/>
    <xf numFmtId="0" fontId="68" fillId="0" borderId="4" xfId="0" applyFont="1" applyBorder="1"/>
    <xf numFmtId="165" fontId="74" fillId="0" borderId="0" xfId="0" applyNumberFormat="1" applyFont="1"/>
    <xf numFmtId="165" fontId="74" fillId="0" borderId="0" xfId="0" applyNumberFormat="1" applyFont="1" applyAlignment="1">
      <alignment horizontal="center"/>
    </xf>
    <xf numFmtId="165" fontId="76" fillId="0" borderId="0" xfId="0" applyNumberFormat="1" applyFont="1"/>
    <xf numFmtId="0" fontId="76" fillId="0" borderId="0" xfId="0" applyFont="1" applyAlignment="1">
      <alignment horizontal="center"/>
    </xf>
    <xf numFmtId="165" fontId="7" fillId="0" borderId="0" xfId="0" applyNumberFormat="1" applyFont="1"/>
    <xf numFmtId="0" fontId="74" fillId="0" borderId="0" xfId="0" applyFont="1" applyAlignment="1">
      <alignment horizontal="center"/>
    </xf>
    <xf numFmtId="166" fontId="12" fillId="0" borderId="0" xfId="0" applyNumberFormat="1" applyFont="1"/>
    <xf numFmtId="0" fontId="94" fillId="0" borderId="0" xfId="0" applyFont="1"/>
    <xf numFmtId="0" fontId="0" fillId="0" borderId="33" xfId="0" applyBorder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12" fillId="0" borderId="34" xfId="0" applyNumberFormat="1" applyFont="1" applyBorder="1" applyAlignment="1">
      <alignment horizontal="right"/>
    </xf>
    <xf numFmtId="0" fontId="0" fillId="0" borderId="35" xfId="0" applyBorder="1"/>
    <xf numFmtId="0" fontId="12" fillId="0" borderId="1" xfId="0" applyFont="1" applyBorder="1" applyAlignment="1">
      <alignment horizontal="left"/>
    </xf>
    <xf numFmtId="165" fontId="78" fillId="19" borderId="0" xfId="0" applyNumberFormat="1" applyFont="1" applyFill="1"/>
    <xf numFmtId="167" fontId="95" fillId="18" borderId="0" xfId="0" applyNumberFormat="1" applyFont="1" applyFill="1"/>
    <xf numFmtId="165" fontId="19" fillId="0" borderId="1" xfId="0" applyNumberFormat="1" applyFont="1" applyBorder="1" applyAlignment="1">
      <alignment horizontal="right"/>
    </xf>
    <xf numFmtId="165" fontId="33" fillId="16" borderId="0" xfId="0" applyNumberFormat="1" applyFont="1" applyFill="1" applyAlignment="1">
      <alignment horizontal="right"/>
    </xf>
    <xf numFmtId="165" fontId="12" fillId="0" borderId="20" xfId="0" applyNumberFormat="1" applyFont="1" applyBorder="1" applyAlignment="1">
      <alignment horizontal="right"/>
    </xf>
    <xf numFmtId="165" fontId="81" fillId="0" borderId="0" xfId="0" applyNumberFormat="1" applyFont="1" applyAlignment="1">
      <alignment horizontal="right"/>
    </xf>
    <xf numFmtId="0" fontId="0" fillId="0" borderId="36" xfId="0" applyBorder="1"/>
    <xf numFmtId="0" fontId="0" fillId="0" borderId="37" xfId="0" applyBorder="1"/>
    <xf numFmtId="0" fontId="0" fillId="0" borderId="38" xfId="0" applyBorder="1"/>
    <xf numFmtId="166" fontId="69" fillId="0" borderId="0" xfId="0" applyNumberFormat="1" applyFont="1"/>
    <xf numFmtId="164" fontId="69" fillId="0" borderId="0" xfId="1" applyFont="1"/>
    <xf numFmtId="165" fontId="81" fillId="0" borderId="0" xfId="0" applyNumberFormat="1" applyFont="1"/>
    <xf numFmtId="0" fontId="12" fillId="0" borderId="2" xfId="0" applyFont="1" applyBorder="1" applyAlignment="1">
      <alignment horizontal="left"/>
    </xf>
    <xf numFmtId="166" fontId="96" fillId="0" borderId="1" xfId="0" applyNumberFormat="1" applyFont="1" applyBorder="1" applyAlignment="1">
      <alignment horizontal="right"/>
    </xf>
    <xf numFmtId="165" fontId="70" fillId="16" borderId="0" xfId="0" applyNumberFormat="1" applyFont="1" applyFill="1" applyAlignment="1">
      <alignment horizontal="right"/>
    </xf>
    <xf numFmtId="167" fontId="28" fillId="17" borderId="0" xfId="0" applyNumberFormat="1" applyFont="1" applyFill="1" applyAlignment="1">
      <alignment horizontal="right"/>
    </xf>
    <xf numFmtId="167" fontId="12" fillId="18" borderId="0" xfId="0" applyNumberFormat="1" applyFont="1" applyFill="1"/>
    <xf numFmtId="0" fontId="0" fillId="0" borderId="39" xfId="0" applyBorder="1"/>
    <xf numFmtId="0" fontId="94" fillId="0" borderId="30" xfId="0" applyFont="1" applyBorder="1"/>
    <xf numFmtId="0" fontId="97" fillId="0" borderId="0" xfId="0" applyFont="1"/>
    <xf numFmtId="0" fontId="98" fillId="0" borderId="0" xfId="0" applyFont="1"/>
    <xf numFmtId="0" fontId="99" fillId="0" borderId="4" xfId="0" applyFont="1" applyBorder="1"/>
    <xf numFmtId="0" fontId="100" fillId="0" borderId="0" xfId="0" applyFont="1"/>
    <xf numFmtId="0" fontId="100" fillId="0" borderId="4" xfId="0" applyFont="1" applyBorder="1"/>
    <xf numFmtId="0" fontId="99" fillId="0" borderId="0" xfId="0" applyFont="1"/>
    <xf numFmtId="0" fontId="101" fillId="0" borderId="4" xfId="0" applyFont="1" applyBorder="1"/>
    <xf numFmtId="0" fontId="102" fillId="0" borderId="0" xfId="0" applyFont="1"/>
    <xf numFmtId="0" fontId="102" fillId="0" borderId="4" xfId="0" applyFont="1" applyBorder="1"/>
    <xf numFmtId="0" fontId="101" fillId="0" borderId="0" xfId="0" applyFont="1"/>
    <xf numFmtId="0" fontId="103" fillId="0" borderId="4" xfId="0" applyFont="1" applyBorder="1"/>
    <xf numFmtId="0" fontId="104" fillId="0" borderId="0" xfId="0" applyFont="1"/>
    <xf numFmtId="0" fontId="105" fillId="0" borderId="0" xfId="0" applyFont="1"/>
    <xf numFmtId="0" fontId="104" fillId="0" borderId="4" xfId="0" applyFont="1" applyBorder="1"/>
    <xf numFmtId="0" fontId="103" fillId="0" borderId="0" xfId="0" applyFont="1"/>
    <xf numFmtId="166" fontId="73" fillId="0" borderId="0" xfId="0" applyNumberFormat="1" applyFont="1" applyAlignment="1">
      <alignment horizontal="right"/>
    </xf>
    <xf numFmtId="166" fontId="19" fillId="0" borderId="1" xfId="0" applyNumberFormat="1" applyFont="1" applyBorder="1" applyAlignment="1">
      <alignment horizontal="right"/>
    </xf>
    <xf numFmtId="167" fontId="89" fillId="17" borderId="0" xfId="0" applyNumberFormat="1" applyFont="1" applyFill="1" applyAlignment="1">
      <alignment horizontal="right"/>
    </xf>
    <xf numFmtId="166" fontId="106" fillId="0" borderId="0" xfId="0" applyNumberFormat="1" applyFont="1"/>
    <xf numFmtId="166" fontId="0" fillId="0" borderId="0" xfId="0" applyNumberFormat="1"/>
    <xf numFmtId="0" fontId="107" fillId="0" borderId="0" xfId="0" applyFont="1"/>
    <xf numFmtId="0" fontId="107" fillId="0" borderId="30" xfId="0" applyFont="1" applyBorder="1"/>
    <xf numFmtId="0" fontId="85" fillId="0" borderId="31" xfId="0" applyFont="1" applyBorder="1"/>
    <xf numFmtId="0" fontId="33" fillId="5" borderId="15" xfId="0" applyFont="1" applyFill="1" applyBorder="1" applyAlignment="1">
      <alignment horizontal="center"/>
    </xf>
    <xf numFmtId="0" fontId="33" fillId="5" borderId="14" xfId="0" applyFont="1" applyFill="1" applyBorder="1" applyAlignment="1">
      <alignment horizontal="center"/>
    </xf>
    <xf numFmtId="0" fontId="50" fillId="5" borderId="7" xfId="0" applyFont="1" applyFill="1" applyBorder="1" applyAlignment="1">
      <alignment horizontal="center" wrapText="1"/>
    </xf>
    <xf numFmtId="0" fontId="50" fillId="5" borderId="14" xfId="0" applyFont="1" applyFill="1" applyBorder="1" applyAlignment="1">
      <alignment horizontal="center" wrapText="1"/>
    </xf>
    <xf numFmtId="0" fontId="2" fillId="3" borderId="11" xfId="0" applyFont="1" applyFill="1" applyBorder="1"/>
    <xf numFmtId="0" fontId="2" fillId="3" borderId="14" xfId="0" applyFont="1" applyFill="1" applyBorder="1"/>
    <xf numFmtId="164" fontId="19" fillId="0" borderId="1" xfId="1" applyFont="1" applyBorder="1" applyAlignment="1">
      <alignment horizontal="right"/>
    </xf>
    <xf numFmtId="0" fontId="12" fillId="5" borderId="6" xfId="0" applyFont="1" applyFill="1" applyBorder="1" applyAlignment="1">
      <alignment horizontal="center"/>
    </xf>
    <xf numFmtId="0" fontId="31" fillId="5" borderId="6" xfId="0" applyFont="1" applyFill="1" applyBorder="1" applyAlignment="1">
      <alignment horizontal="center"/>
    </xf>
    <xf numFmtId="0" fontId="56" fillId="5" borderId="6" xfId="0" applyFont="1" applyFill="1" applyBorder="1" applyAlignment="1">
      <alignment horizontal="center"/>
    </xf>
    <xf numFmtId="0" fontId="7" fillId="5" borderId="6" xfId="0" applyFont="1" applyFill="1" applyBorder="1" applyAlignment="1">
      <alignment horizontal="center"/>
    </xf>
    <xf numFmtId="0" fontId="28" fillId="5" borderId="7" xfId="0" applyFont="1" applyFill="1" applyBorder="1" applyAlignment="1">
      <alignment horizontal="center"/>
    </xf>
    <xf numFmtId="0" fontId="58" fillId="8" borderId="6" xfId="0" applyFont="1" applyFill="1" applyBorder="1" applyAlignment="1">
      <alignment horizontal="center"/>
    </xf>
    <xf numFmtId="0" fontId="108" fillId="5" borderId="6" xfId="0" applyFont="1" applyFill="1" applyBorder="1" applyAlignment="1">
      <alignment horizontal="center" wrapText="1"/>
    </xf>
    <xf numFmtId="0" fontId="58" fillId="5" borderId="5" xfId="0" applyFont="1" applyFill="1" applyBorder="1" applyAlignment="1">
      <alignment horizontal="center"/>
    </xf>
    <xf numFmtId="0" fontId="58" fillId="5" borderId="6" xfId="0" applyFont="1" applyFill="1" applyBorder="1" applyAlignment="1">
      <alignment horizontal="center"/>
    </xf>
    <xf numFmtId="0" fontId="50" fillId="5" borderId="6" xfId="0" applyFont="1" applyFill="1" applyBorder="1" applyAlignment="1">
      <alignment horizontal="center"/>
    </xf>
    <xf numFmtId="0" fontId="12" fillId="5" borderId="11" xfId="0" applyFont="1" applyFill="1" applyBorder="1"/>
    <xf numFmtId="0" fontId="28" fillId="5" borderId="11" xfId="0" applyFont="1" applyFill="1" applyBorder="1" applyAlignment="1">
      <alignment horizontal="center"/>
    </xf>
    <xf numFmtId="0" fontId="28" fillId="5" borderId="14" xfId="0" applyFont="1" applyFill="1" applyBorder="1" applyAlignment="1">
      <alignment horizontal="center"/>
    </xf>
    <xf numFmtId="0" fontId="28" fillId="5" borderId="8" xfId="0" applyFont="1" applyFill="1" applyBorder="1" applyAlignment="1">
      <alignment horizontal="center"/>
    </xf>
    <xf numFmtId="0" fontId="58" fillId="7" borderId="6" xfId="0" applyFont="1" applyFill="1" applyBorder="1" applyAlignment="1">
      <alignment horizontal="center"/>
    </xf>
    <xf numFmtId="0" fontId="58" fillId="7" borderId="11" xfId="0" applyFont="1" applyFill="1" applyBorder="1" applyAlignment="1">
      <alignment horizontal="center"/>
    </xf>
    <xf numFmtId="0" fontId="55" fillId="5" borderId="5" xfId="0" applyFont="1" applyFill="1" applyBorder="1" applyAlignment="1">
      <alignment horizontal="center"/>
    </xf>
    <xf numFmtId="0" fontId="58" fillId="6" borderId="5" xfId="0" applyFont="1" applyFill="1" applyBorder="1" applyAlignment="1">
      <alignment horizontal="center"/>
    </xf>
    <xf numFmtId="0" fontId="57" fillId="5" borderId="0" xfId="0" applyFont="1" applyFill="1" applyAlignment="1">
      <alignment wrapText="1"/>
    </xf>
    <xf numFmtId="0" fontId="57" fillId="5" borderId="14" xfId="0" applyFont="1" applyFill="1" applyBorder="1" applyAlignment="1">
      <alignment wrapText="1"/>
    </xf>
    <xf numFmtId="0" fontId="52" fillId="5" borderId="6" xfId="0" applyFont="1" applyFill="1" applyBorder="1" applyAlignment="1">
      <alignment horizontal="center"/>
    </xf>
    <xf numFmtId="0" fontId="28" fillId="5" borderId="3" xfId="0" applyFont="1" applyFill="1" applyBorder="1" applyAlignment="1">
      <alignment horizontal="center"/>
    </xf>
    <xf numFmtId="0" fontId="58" fillId="15" borderId="6" xfId="0" applyFont="1" applyFill="1" applyBorder="1" applyAlignment="1">
      <alignment horizontal="center" wrapText="1"/>
    </xf>
    <xf numFmtId="0" fontId="30" fillId="5" borderId="6" xfId="0" applyFont="1" applyFill="1" applyBorder="1" applyAlignment="1">
      <alignment horizontal="center"/>
    </xf>
    <xf numFmtId="0" fontId="11" fillId="5" borderId="6" xfId="0" applyFont="1" applyFill="1" applyBorder="1" applyAlignment="1">
      <alignment horizontal="center" wrapText="1"/>
    </xf>
    <xf numFmtId="0" fontId="28" fillId="10" borderId="3" xfId="0" applyFont="1" applyFill="1" applyBorder="1" applyAlignment="1">
      <alignment horizontal="center"/>
    </xf>
    <xf numFmtId="0" fontId="28" fillId="5" borderId="2" xfId="0" applyFont="1" applyFill="1" applyBorder="1" applyAlignment="1">
      <alignment horizontal="center"/>
    </xf>
    <xf numFmtId="0" fontId="60" fillId="5" borderId="6" xfId="0" applyFont="1" applyFill="1" applyBorder="1" applyAlignment="1">
      <alignment horizontal="center"/>
    </xf>
    <xf numFmtId="0" fontId="109" fillId="10" borderId="3" xfId="0" applyFont="1" applyFill="1" applyBorder="1" applyAlignment="1">
      <alignment horizontal="center"/>
    </xf>
    <xf numFmtId="0" fontId="58" fillId="15" borderId="5" xfId="0" applyFont="1" applyFill="1" applyBorder="1" applyAlignment="1">
      <alignment horizontal="center"/>
    </xf>
    <xf numFmtId="0" fontId="17" fillId="12" borderId="11" xfId="0" applyFont="1" applyFill="1" applyBorder="1" applyAlignment="1">
      <alignment horizontal="center" wrapText="1"/>
    </xf>
    <xf numFmtId="168" fontId="109" fillId="0" borderId="0" xfId="0" applyNumberFormat="1" applyFont="1"/>
    <xf numFmtId="0" fontId="57" fillId="6" borderId="5" xfId="0" applyFont="1" applyFill="1" applyBorder="1" applyAlignment="1">
      <alignment horizontal="center"/>
    </xf>
    <xf numFmtId="0" fontId="110" fillId="9" borderId="5" xfId="0" applyFont="1" applyFill="1" applyBorder="1" applyAlignment="1">
      <alignment horizontal="center"/>
    </xf>
    <xf numFmtId="0" fontId="110" fillId="9" borderId="6" xfId="0" applyFont="1" applyFill="1" applyBorder="1" applyAlignment="1">
      <alignment horizontal="center" wrapText="1"/>
    </xf>
    <xf numFmtId="0" fontId="110" fillId="9" borderId="6" xfId="0" applyFont="1" applyFill="1" applyBorder="1" applyAlignment="1">
      <alignment horizontal="center"/>
    </xf>
    <xf numFmtId="0" fontId="111" fillId="8" borderId="6" xfId="0" applyFont="1" applyFill="1" applyBorder="1" applyAlignment="1">
      <alignment horizontal="center"/>
    </xf>
    <xf numFmtId="0" fontId="14" fillId="20" borderId="8" xfId="0" applyFont="1" applyFill="1" applyBorder="1" applyAlignment="1">
      <alignment horizontal="center" wrapText="1"/>
    </xf>
    <xf numFmtId="0" fontId="28" fillId="20" borderId="6" xfId="0" applyFont="1" applyFill="1" applyBorder="1" applyAlignment="1">
      <alignment horizontal="center"/>
    </xf>
    <xf numFmtId="0" fontId="28" fillId="20" borderId="10" xfId="0" applyFont="1" applyFill="1" applyBorder="1" applyAlignment="1">
      <alignment horizontal="center" wrapText="1"/>
    </xf>
    <xf numFmtId="0" fontId="63" fillId="5" borderId="6" xfId="0" applyFont="1" applyFill="1" applyBorder="1" applyAlignment="1">
      <alignment horizontal="center"/>
    </xf>
    <xf numFmtId="0" fontId="28" fillId="5" borderId="7" xfId="0" applyFont="1" applyFill="1" applyBorder="1" applyAlignment="1">
      <alignment horizontal="center" wrapText="1"/>
    </xf>
    <xf numFmtId="0" fontId="0" fillId="0" borderId="41" xfId="0" applyBorder="1"/>
    <xf numFmtId="0" fontId="0" fillId="0" borderId="14" xfId="0" applyBorder="1"/>
    <xf numFmtId="0" fontId="109" fillId="21" borderId="0" xfId="0" applyFont="1" applyFill="1" applyAlignment="1">
      <alignment horizontal="center"/>
    </xf>
    <xf numFmtId="0" fontId="58" fillId="7" borderId="16" xfId="0" applyFont="1" applyFill="1" applyBorder="1" applyAlignment="1">
      <alignment horizontal="center"/>
    </xf>
    <xf numFmtId="0" fontId="58" fillId="7" borderId="42" xfId="0" applyFont="1" applyFill="1" applyBorder="1" applyAlignment="1">
      <alignment horizontal="center"/>
    </xf>
    <xf numFmtId="0" fontId="58" fillId="7" borderId="17" xfId="0" applyFont="1" applyFill="1" applyBorder="1" applyAlignment="1">
      <alignment horizontal="center"/>
    </xf>
    <xf numFmtId="165" fontId="112" fillId="17" borderId="0" xfId="0" applyNumberFormat="1" applyFont="1" applyFill="1" applyAlignment="1">
      <alignment horizontal="right"/>
    </xf>
    <xf numFmtId="0" fontId="113" fillId="6" borderId="6" xfId="0" applyFont="1" applyFill="1" applyBorder="1" applyAlignment="1">
      <alignment horizontal="center"/>
    </xf>
    <xf numFmtId="0" fontId="57" fillId="6" borderId="6" xfId="0" applyFont="1" applyFill="1" applyBorder="1" applyAlignment="1">
      <alignment horizontal="center"/>
    </xf>
    <xf numFmtId="0" fontId="58" fillId="11" borderId="8" xfId="0" applyFont="1" applyFill="1" applyBorder="1"/>
    <xf numFmtId="0" fontId="59" fillId="5" borderId="5" xfId="0" applyFont="1" applyFill="1" applyBorder="1" applyAlignment="1">
      <alignment horizontal="center"/>
    </xf>
    <xf numFmtId="0" fontId="57" fillId="15" borderId="5" xfId="0" applyFont="1" applyFill="1" applyBorder="1" applyAlignment="1">
      <alignment horizontal="center" wrapText="1"/>
    </xf>
    <xf numFmtId="166" fontId="112" fillId="18" borderId="0" xfId="0" applyNumberFormat="1" applyFont="1" applyFill="1" applyAlignment="1">
      <alignment horizontal="right"/>
    </xf>
    <xf numFmtId="0" fontId="58" fillId="13" borderId="6" xfId="0" applyFont="1" applyFill="1" applyBorder="1" applyAlignment="1">
      <alignment horizontal="center"/>
    </xf>
    <xf numFmtId="0" fontId="58" fillId="5" borderId="16" xfId="0" applyFont="1" applyFill="1" applyBorder="1" applyAlignment="1">
      <alignment horizontal="center"/>
    </xf>
    <xf numFmtId="0" fontId="58" fillId="5" borderId="17" xfId="0" applyFont="1" applyFill="1" applyBorder="1" applyAlignment="1">
      <alignment horizontal="center"/>
    </xf>
    <xf numFmtId="0" fontId="57" fillId="6" borderId="6" xfId="0" applyFont="1" applyFill="1" applyBorder="1" applyAlignment="1">
      <alignment horizontal="center" wrapText="1"/>
    </xf>
    <xf numFmtId="0" fontId="114" fillId="8" borderId="6" xfId="0" applyFont="1" applyFill="1" applyBorder="1" applyAlignment="1">
      <alignment horizontal="center"/>
    </xf>
    <xf numFmtId="0" fontId="115" fillId="13" borderId="6" xfId="0" applyFont="1" applyFill="1" applyBorder="1" applyAlignment="1">
      <alignment horizontal="center"/>
    </xf>
    <xf numFmtId="0" fontId="22" fillId="5" borderId="6" xfId="0" applyFont="1" applyFill="1" applyBorder="1" applyAlignment="1">
      <alignment horizontal="center"/>
    </xf>
    <xf numFmtId="0" fontId="116" fillId="8" borderId="6" xfId="0" applyFont="1" applyFill="1" applyBorder="1" applyAlignment="1">
      <alignment horizontal="center"/>
    </xf>
    <xf numFmtId="0" fontId="116" fillId="21" borderId="6" xfId="0" applyFont="1" applyFill="1" applyBorder="1" applyAlignment="1">
      <alignment horizontal="center"/>
    </xf>
    <xf numFmtId="0" fontId="57" fillId="5" borderId="14" xfId="0" applyFont="1" applyFill="1" applyBorder="1" applyAlignment="1">
      <alignment horizontal="center"/>
    </xf>
    <xf numFmtId="0" fontId="28" fillId="5" borderId="0" xfId="0" applyFont="1" applyFill="1" applyAlignment="1">
      <alignment horizontal="center"/>
    </xf>
    <xf numFmtId="0" fontId="28" fillId="5" borderId="9" xfId="0" applyFont="1" applyFill="1" applyBorder="1" applyAlignment="1">
      <alignment horizontal="center"/>
    </xf>
    <xf numFmtId="0" fontId="58" fillId="22" borderId="6" xfId="0" applyFont="1" applyFill="1" applyBorder="1" applyAlignment="1">
      <alignment horizontal="center"/>
    </xf>
    <xf numFmtId="0" fontId="57" fillId="5" borderId="6" xfId="0" applyFont="1" applyFill="1" applyBorder="1" applyAlignment="1">
      <alignment horizontal="center"/>
    </xf>
    <xf numFmtId="0" fontId="57" fillId="13" borderId="6" xfId="0" applyFont="1" applyFill="1" applyBorder="1" applyAlignment="1">
      <alignment horizontal="center" wrapText="1"/>
    </xf>
    <xf numFmtId="0" fontId="36" fillId="5" borderId="8" xfId="0" applyFont="1" applyFill="1" applyBorder="1"/>
    <xf numFmtId="0" fontId="57" fillId="22" borderId="6" xfId="0" applyFont="1" applyFill="1" applyBorder="1" applyAlignment="1">
      <alignment horizontal="center"/>
    </xf>
    <xf numFmtId="0" fontId="118" fillId="21" borderId="7" xfId="0" applyFont="1" applyFill="1" applyBorder="1" applyAlignment="1">
      <alignment horizontal="center"/>
    </xf>
    <xf numFmtId="0" fontId="118" fillId="21" borderId="3" xfId="0" applyFont="1" applyFill="1" applyBorder="1" applyAlignment="1">
      <alignment horizontal="center"/>
    </xf>
    <xf numFmtId="0" fontId="57" fillId="11" borderId="14" xfId="0" applyFont="1" applyFill="1" applyBorder="1" applyAlignment="1">
      <alignment horizontal="center"/>
    </xf>
    <xf numFmtId="0" fontId="115" fillId="21" borderId="6" xfId="0" applyFont="1" applyFill="1" applyBorder="1" applyAlignment="1">
      <alignment horizontal="center" wrapText="1"/>
    </xf>
    <xf numFmtId="0" fontId="58" fillId="24" borderId="6" xfId="0" applyFont="1" applyFill="1" applyBorder="1" applyAlignment="1">
      <alignment horizontal="center"/>
    </xf>
    <xf numFmtId="0" fontId="57" fillId="13" borderId="7" xfId="0" applyFont="1" applyFill="1" applyBorder="1" applyAlignment="1">
      <alignment horizontal="center"/>
    </xf>
    <xf numFmtId="0" fontId="58" fillId="13" borderId="2" xfId="0" applyFont="1" applyFill="1" applyBorder="1" applyAlignment="1">
      <alignment horizontal="center"/>
    </xf>
    <xf numFmtId="0" fontId="57" fillId="13" borderId="2" xfId="0" applyFont="1" applyFill="1" applyBorder="1" applyAlignment="1">
      <alignment horizontal="center"/>
    </xf>
    <xf numFmtId="0" fontId="58" fillId="5" borderId="6" xfId="0" applyFont="1" applyFill="1" applyBorder="1" applyAlignment="1">
      <alignment horizontal="center" wrapText="1"/>
    </xf>
    <xf numFmtId="0" fontId="12" fillId="13" borderId="6" xfId="0" applyFont="1" applyFill="1" applyBorder="1" applyAlignment="1">
      <alignment horizontal="center"/>
    </xf>
    <xf numFmtId="0" fontId="57" fillId="13" borderId="14" xfId="0" applyFont="1" applyFill="1" applyBorder="1" applyAlignment="1">
      <alignment horizontal="center"/>
    </xf>
    <xf numFmtId="0" fontId="59" fillId="15" borderId="11" xfId="0" applyFont="1" applyFill="1" applyBorder="1" applyAlignment="1">
      <alignment horizontal="center"/>
    </xf>
    <xf numFmtId="0" fontId="28" fillId="5" borderId="43" xfId="0" applyFont="1" applyFill="1" applyBorder="1" applyAlignment="1">
      <alignment horizontal="center"/>
    </xf>
    <xf numFmtId="0" fontId="50" fillId="5" borderId="0" xfId="0" applyFont="1" applyFill="1" applyAlignment="1">
      <alignment horizontal="center"/>
    </xf>
    <xf numFmtId="0" fontId="57" fillId="6" borderId="44" xfId="0" applyFont="1" applyFill="1" applyBorder="1" applyAlignment="1">
      <alignment horizontal="center" wrapText="1"/>
    </xf>
    <xf numFmtId="0" fontId="57" fillId="6" borderId="14" xfId="0" applyFont="1" applyFill="1" applyBorder="1" applyAlignment="1">
      <alignment horizontal="center" wrapText="1"/>
    </xf>
    <xf numFmtId="0" fontId="0" fillId="0" borderId="45" xfId="0" applyBorder="1"/>
    <xf numFmtId="0" fontId="57" fillId="5" borderId="44" xfId="0" applyFont="1" applyFill="1" applyBorder="1" applyAlignment="1">
      <alignment horizontal="center" wrapText="1"/>
    </xf>
    <xf numFmtId="0" fontId="57" fillId="6" borderId="16" xfId="0" applyFont="1" applyFill="1" applyBorder="1" applyAlignment="1">
      <alignment horizontal="center"/>
    </xf>
    <xf numFmtId="0" fontId="57" fillId="6" borderId="42" xfId="0" applyFont="1" applyFill="1" applyBorder="1" applyAlignment="1">
      <alignment horizontal="center"/>
    </xf>
    <xf numFmtId="0" fontId="57" fillId="6" borderId="17" xfId="0" applyFont="1" applyFill="1" applyBorder="1" applyAlignment="1">
      <alignment horizontal="center" wrapText="1"/>
    </xf>
    <xf numFmtId="0" fontId="116" fillId="7" borderId="6" xfId="0" applyFont="1" applyFill="1" applyBorder="1" applyAlignment="1">
      <alignment horizontal="center" wrapText="1"/>
    </xf>
    <xf numFmtId="0" fontId="116" fillId="7" borderId="6" xfId="0" applyFont="1" applyFill="1" applyBorder="1" applyAlignment="1">
      <alignment horizontal="center"/>
    </xf>
    <xf numFmtId="0" fontId="116" fillId="20" borderId="6" xfId="0" applyFont="1" applyFill="1" applyBorder="1" applyAlignment="1">
      <alignment horizontal="center"/>
    </xf>
    <xf numFmtId="0" fontId="116" fillId="20" borderId="3" xfId="0" applyFont="1" applyFill="1" applyBorder="1" applyAlignment="1">
      <alignment horizontal="center"/>
    </xf>
    <xf numFmtId="0" fontId="120" fillId="5" borderId="6" xfId="0" applyFont="1" applyFill="1" applyBorder="1"/>
    <xf numFmtId="0" fontId="33" fillId="5" borderId="11" xfId="0" applyFont="1" applyFill="1" applyBorder="1" applyAlignment="1">
      <alignment horizontal="center"/>
    </xf>
    <xf numFmtId="0" fontId="28" fillId="5" borderId="14" xfId="0" applyFont="1" applyFill="1" applyBorder="1" applyAlignment="1">
      <alignment wrapText="1"/>
    </xf>
    <xf numFmtId="0" fontId="57" fillId="13" borderId="6" xfId="0" applyFont="1" applyFill="1" applyBorder="1" applyAlignment="1">
      <alignment horizontal="center"/>
    </xf>
    <xf numFmtId="0" fontId="121" fillId="21" borderId="7" xfId="0" applyFont="1" applyFill="1" applyBorder="1" applyAlignment="1">
      <alignment horizontal="center" wrapText="1"/>
    </xf>
    <xf numFmtId="0" fontId="121" fillId="21" borderId="3" xfId="0" applyFont="1" applyFill="1" applyBorder="1" applyAlignment="1">
      <alignment horizontal="center"/>
    </xf>
    <xf numFmtId="0" fontId="122" fillId="23" borderId="6" xfId="0" applyFont="1" applyFill="1" applyBorder="1" applyAlignment="1">
      <alignment horizontal="center"/>
    </xf>
    <xf numFmtId="0" fontId="57" fillId="8" borderId="6" xfId="0" applyFont="1" applyFill="1" applyBorder="1" applyAlignment="1">
      <alignment horizontal="center" wrapText="1"/>
    </xf>
    <xf numFmtId="0" fontId="109" fillId="5" borderId="6" xfId="0" applyFont="1" applyFill="1" applyBorder="1" applyAlignment="1">
      <alignment horizontal="center"/>
    </xf>
    <xf numFmtId="0" fontId="58" fillId="7" borderId="7" xfId="0" applyFont="1" applyFill="1" applyBorder="1" applyAlignment="1">
      <alignment horizontal="center"/>
    </xf>
    <xf numFmtId="0" fontId="58" fillId="7" borderId="13" xfId="0" applyFont="1" applyFill="1" applyBorder="1" applyAlignment="1">
      <alignment horizontal="center"/>
    </xf>
    <xf numFmtId="0" fontId="58" fillId="5" borderId="3" xfId="0" applyFont="1" applyFill="1" applyBorder="1" applyAlignment="1">
      <alignment horizontal="center"/>
    </xf>
    <xf numFmtId="0" fontId="113" fillId="7" borderId="7" xfId="0" applyFont="1" applyFill="1" applyBorder="1" applyAlignment="1">
      <alignment horizontal="center"/>
    </xf>
    <xf numFmtId="0" fontId="113" fillId="7" borderId="13" xfId="0" applyFont="1" applyFill="1" applyBorder="1" applyAlignment="1">
      <alignment horizontal="center"/>
    </xf>
    <xf numFmtId="0" fontId="119" fillId="5" borderId="7" xfId="0" applyFont="1" applyFill="1" applyBorder="1" applyAlignment="1">
      <alignment horizontal="center" wrapText="1"/>
    </xf>
    <xf numFmtId="0" fontId="123" fillId="11" borderId="14" xfId="0" applyFont="1" applyFill="1" applyBorder="1" applyAlignment="1">
      <alignment horizontal="center"/>
    </xf>
    <xf numFmtId="0" fontId="123" fillId="11" borderId="6" xfId="0" applyFont="1" applyFill="1" applyBorder="1" applyAlignment="1">
      <alignment horizontal="center" wrapText="1"/>
    </xf>
    <xf numFmtId="0" fontId="83" fillId="5" borderId="11" xfId="0" applyFont="1" applyFill="1" applyBorder="1" applyAlignment="1">
      <alignment horizontal="center" wrapText="1"/>
    </xf>
    <xf numFmtId="0" fontId="28" fillId="5" borderId="11" xfId="0" applyFont="1" applyFill="1" applyBorder="1" applyAlignment="1">
      <alignment horizontal="center" wrapText="1"/>
    </xf>
    <xf numFmtId="0" fontId="50" fillId="5" borderId="6" xfId="0" applyFont="1" applyFill="1" applyBorder="1" applyAlignment="1">
      <alignment horizontal="center" wrapText="1"/>
    </xf>
    <xf numFmtId="0" fontId="33" fillId="5" borderId="5" xfId="0" applyFont="1" applyFill="1" applyBorder="1" applyAlignment="1">
      <alignment horizontal="left"/>
    </xf>
    <xf numFmtId="0" fontId="29" fillId="2" borderId="2" xfId="0" applyFont="1" applyFill="1" applyBorder="1" applyAlignment="1">
      <alignment horizontal="left"/>
    </xf>
    <xf numFmtId="0" fontId="15" fillId="5" borderId="3" xfId="0" applyFont="1" applyFill="1" applyBorder="1" applyAlignment="1">
      <alignment horizontal="center"/>
    </xf>
    <xf numFmtId="0" fontId="120" fillId="5" borderId="0" xfId="0" applyFont="1" applyFill="1"/>
    <xf numFmtId="0" fontId="117" fillId="15" borderId="6" xfId="0" applyFont="1" applyFill="1" applyBorder="1" applyAlignment="1">
      <alignment horizontal="center"/>
    </xf>
    <xf numFmtId="164" fontId="124" fillId="18" borderId="0" xfId="1" applyFont="1" applyFill="1"/>
    <xf numFmtId="165" fontId="124" fillId="17" borderId="0" xfId="0" applyNumberFormat="1" applyFont="1" applyFill="1" applyAlignment="1">
      <alignment horizontal="right"/>
    </xf>
    <xf numFmtId="0" fontId="114" fillId="5" borderId="6" xfId="0" applyFont="1" applyFill="1" applyBorder="1" applyAlignment="1">
      <alignment horizontal="center"/>
    </xf>
    <xf numFmtId="0" fontId="50" fillId="5" borderId="15" xfId="0" applyFont="1" applyFill="1" applyBorder="1" applyAlignment="1">
      <alignment horizontal="center" wrapText="1"/>
    </xf>
    <xf numFmtId="0" fontId="50" fillId="5" borderId="41" xfId="0" applyFont="1" applyFill="1" applyBorder="1" applyAlignment="1">
      <alignment horizontal="center" wrapText="1"/>
    </xf>
    <xf numFmtId="0" fontId="59" fillId="5" borderId="6" xfId="0" applyFont="1" applyFill="1" applyBorder="1" applyAlignment="1">
      <alignment horizontal="center"/>
    </xf>
    <xf numFmtId="0" fontId="126" fillId="15" borderId="6" xfId="0" applyFont="1" applyFill="1" applyBorder="1" applyAlignment="1">
      <alignment horizontal="center"/>
    </xf>
    <xf numFmtId="0" fontId="125" fillId="15" borderId="6" xfId="0" applyFont="1" applyFill="1" applyBorder="1" applyAlignment="1">
      <alignment horizontal="center"/>
    </xf>
    <xf numFmtId="0" fontId="119" fillId="5" borderId="6" xfId="0" applyFont="1" applyFill="1" applyBorder="1" applyAlignment="1">
      <alignment horizontal="center"/>
    </xf>
    <xf numFmtId="168" fontId="28" fillId="8" borderId="0" xfId="0" applyNumberFormat="1" applyFont="1" applyFill="1"/>
    <xf numFmtId="168" fontId="32" fillId="8" borderId="0" xfId="0" applyNumberFormat="1" applyFont="1" applyFill="1" applyAlignment="1">
      <alignment horizontal="right"/>
    </xf>
    <xf numFmtId="0" fontId="50" fillId="5" borderId="11" xfId="0" applyFont="1" applyFill="1" applyBorder="1" applyAlignment="1">
      <alignment horizontal="center" wrapText="1"/>
    </xf>
    <xf numFmtId="0" fontId="28" fillId="5" borderId="15" xfId="0" applyFont="1" applyFill="1" applyBorder="1" applyAlignment="1">
      <alignment horizontal="center"/>
    </xf>
    <xf numFmtId="0" fontId="28" fillId="5" borderId="40" xfId="0" applyFont="1" applyFill="1" applyBorder="1" applyAlignment="1">
      <alignment horizontal="center"/>
    </xf>
    <xf numFmtId="0" fontId="59" fillId="12" borderId="6" xfId="0" applyFont="1" applyFill="1" applyBorder="1" applyAlignment="1">
      <alignment horizontal="center" wrapText="1"/>
    </xf>
    <xf numFmtId="0" fontId="116" fillId="11" borderId="6" xfId="0" applyFont="1" applyFill="1" applyBorder="1" applyAlignment="1">
      <alignment horizontal="center"/>
    </xf>
    <xf numFmtId="0" fontId="108" fillId="5" borderId="7" xfId="0" applyFont="1" applyFill="1" applyBorder="1" applyAlignment="1">
      <alignment horizontal="center" wrapText="1"/>
    </xf>
    <xf numFmtId="0" fontId="40" fillId="5" borderId="7" xfId="0" applyFont="1" applyFill="1" applyBorder="1"/>
    <xf numFmtId="0" fontId="59" fillId="5" borderId="6" xfId="0" applyFont="1" applyFill="1" applyBorder="1" applyAlignment="1">
      <alignment horizontal="center" wrapText="1"/>
    </xf>
    <xf numFmtId="0" fontId="59" fillId="12" borderId="6" xfId="0" applyFont="1" applyFill="1" applyBorder="1" applyAlignment="1">
      <alignment horizontal="center"/>
    </xf>
    <xf numFmtId="0" fontId="116" fillId="5" borderId="6" xfId="0" applyFont="1" applyFill="1" applyBorder="1"/>
    <xf numFmtId="0" fontId="109" fillId="5" borderId="0" xfId="0" applyFont="1" applyFill="1" applyAlignment="1">
      <alignment horizontal="center"/>
    </xf>
    <xf numFmtId="0" fontId="50" fillId="8" borderId="6" xfId="0" applyFont="1" applyFill="1" applyBorder="1" applyAlignment="1">
      <alignment horizontal="center"/>
    </xf>
    <xf numFmtId="0" fontId="127" fillId="6" borderId="6" xfId="0" applyFont="1" applyFill="1" applyBorder="1" applyAlignment="1">
      <alignment horizontal="center" wrapText="1"/>
    </xf>
    <xf numFmtId="0" fontId="12" fillId="13" borderId="6" xfId="0" applyFont="1" applyFill="1" applyBorder="1" applyAlignment="1">
      <alignment horizontal="center" wrapText="1"/>
    </xf>
    <xf numFmtId="0" fontId="59" fillId="11" borderId="6" xfId="0" applyFont="1" applyFill="1" applyBorder="1" applyAlignment="1">
      <alignment horizontal="center"/>
    </xf>
    <xf numFmtId="0" fontId="59" fillId="11" borderId="6" xfId="0" applyFont="1" applyFill="1" applyBorder="1" applyAlignment="1">
      <alignment horizontal="center" wrapText="1"/>
    </xf>
    <xf numFmtId="0" fontId="59" fillId="25" borderId="3" xfId="0" applyFont="1" applyFill="1" applyBorder="1" applyAlignment="1">
      <alignment horizontal="center" wrapText="1"/>
    </xf>
    <xf numFmtId="0" fontId="59" fillId="8" borderId="7" xfId="0" applyFont="1" applyFill="1" applyBorder="1" applyAlignment="1">
      <alignment horizontal="center" wrapText="1"/>
    </xf>
    <xf numFmtId="0" fontId="4" fillId="0" borderId="47" xfId="0" applyFont="1" applyBorder="1"/>
    <xf numFmtId="0" fontId="129" fillId="5" borderId="6" xfId="0" applyFont="1" applyFill="1" applyBorder="1" applyAlignment="1">
      <alignment wrapText="1"/>
    </xf>
    <xf numFmtId="0" fontId="128" fillId="5" borderId="6" xfId="0" applyFont="1" applyFill="1" applyBorder="1" applyAlignment="1">
      <alignment horizontal="center"/>
    </xf>
    <xf numFmtId="0" fontId="59" fillId="8" borderId="6" xfId="0" applyFont="1" applyFill="1" applyBorder="1" applyAlignment="1">
      <alignment horizontal="center" wrapText="1"/>
    </xf>
    <xf numFmtId="0" fontId="28" fillId="5" borderId="41" xfId="0" applyFont="1" applyFill="1" applyBorder="1" applyAlignment="1">
      <alignment horizontal="center"/>
    </xf>
    <xf numFmtId="168" fontId="0" fillId="0" borderId="24" xfId="0" applyNumberFormat="1" applyBorder="1"/>
    <xf numFmtId="168" fontId="0" fillId="0" borderId="0" xfId="0" applyNumberFormat="1"/>
    <xf numFmtId="0" fontId="130" fillId="6" borderId="6" xfId="0" applyFont="1" applyFill="1" applyBorder="1" applyAlignment="1">
      <alignment horizontal="center"/>
    </xf>
    <xf numFmtId="0" fontId="130" fillId="6" borderId="0" xfId="0" applyFont="1" applyFill="1" applyAlignment="1">
      <alignment horizontal="center"/>
    </xf>
    <xf numFmtId="0" fontId="39" fillId="5" borderId="6" xfId="0" applyFont="1" applyFill="1" applyBorder="1" applyAlignment="1">
      <alignment horizontal="center"/>
    </xf>
    <xf numFmtId="0" fontId="58" fillId="5" borderId="6" xfId="0" applyFont="1" applyFill="1" applyBorder="1"/>
    <xf numFmtId="168" fontId="124" fillId="0" borderId="0" xfId="0" applyNumberFormat="1" applyFont="1" applyAlignment="1">
      <alignment horizontal="right"/>
    </xf>
    <xf numFmtId="164" fontId="28" fillId="0" borderId="0" xfId="1" applyFont="1" applyAlignment="1">
      <alignment horizontal="right"/>
    </xf>
    <xf numFmtId="0" fontId="57" fillId="9" borderId="5" xfId="0" applyFont="1" applyFill="1" applyBorder="1" applyAlignment="1">
      <alignment horizontal="center"/>
    </xf>
    <xf numFmtId="0" fontId="59" fillId="5" borderId="46" xfId="0" applyFont="1" applyFill="1" applyBorder="1" applyAlignment="1">
      <alignment horizontal="center"/>
    </xf>
    <xf numFmtId="0" fontId="59" fillId="25" borderId="6" xfId="0" applyFont="1" applyFill="1" applyBorder="1" applyAlignment="1">
      <alignment horizontal="left"/>
    </xf>
    <xf numFmtId="0" fontId="109" fillId="5" borderId="5" xfId="0" applyFont="1" applyFill="1" applyBorder="1" applyAlignment="1">
      <alignment horizontal="center"/>
    </xf>
    <xf numFmtId="0" fontId="59" fillId="8" borderId="6" xfId="0" applyFont="1" applyFill="1" applyBorder="1" applyAlignment="1">
      <alignment horizontal="center"/>
    </xf>
    <xf numFmtId="167" fontId="124" fillId="0" borderId="0" xfId="0" applyNumberFormat="1" applyFont="1" applyAlignment="1">
      <alignment horizontal="right"/>
    </xf>
    <xf numFmtId="0" fontId="58" fillId="5" borderId="14" xfId="0" applyFont="1" applyFill="1" applyBorder="1" applyAlignment="1">
      <alignment horizontal="center"/>
    </xf>
    <xf numFmtId="0" fontId="57" fillId="5" borderId="5" xfId="0" applyFont="1" applyFill="1" applyBorder="1" applyAlignment="1">
      <alignment horizontal="center"/>
    </xf>
    <xf numFmtId="0" fontId="11" fillId="5" borderId="8" xfId="0" applyFont="1" applyFill="1" applyBorder="1"/>
    <xf numFmtId="0" fontId="12" fillId="20" borderId="14" xfId="0" applyFont="1" applyFill="1" applyBorder="1" applyAlignment="1">
      <alignment horizontal="center" wrapText="1"/>
    </xf>
    <xf numFmtId="0" fontId="33" fillId="5" borderId="43" xfId="0" applyFont="1" applyFill="1" applyBorder="1" applyAlignment="1">
      <alignment horizontal="center"/>
    </xf>
    <xf numFmtId="0" fontId="58" fillId="9" borderId="7" xfId="0" applyFont="1" applyFill="1" applyBorder="1" applyAlignment="1">
      <alignment horizontal="center" wrapText="1"/>
    </xf>
    <xf numFmtId="0" fontId="58" fillId="9" borderId="3" xfId="0" applyFont="1" applyFill="1" applyBorder="1" applyAlignment="1">
      <alignment horizontal="center" wrapText="1"/>
    </xf>
    <xf numFmtId="0" fontId="15" fillId="5" borderId="7" xfId="0" applyFont="1" applyFill="1" applyBorder="1" applyAlignment="1">
      <alignment horizontal="center"/>
    </xf>
    <xf numFmtId="0" fontId="12" fillId="5" borderId="14" xfId="0" applyFont="1" applyFill="1" applyBorder="1" applyAlignment="1">
      <alignment horizontal="center" wrapText="1"/>
    </xf>
    <xf numFmtId="0" fontId="43" fillId="5" borderId="11" xfId="0" applyFont="1" applyFill="1" applyBorder="1"/>
    <xf numFmtId="0" fontId="61" fillId="9" borderId="6" xfId="0" applyFont="1" applyFill="1" applyBorder="1"/>
    <xf numFmtId="0" fontId="62" fillId="9" borderId="6" xfId="0" applyFont="1" applyFill="1" applyBorder="1"/>
    <xf numFmtId="0" fontId="62" fillId="9" borderId="7" xfId="0" applyFont="1" applyFill="1" applyBorder="1"/>
    <xf numFmtId="0" fontId="62" fillId="9" borderId="3" xfId="0" applyFont="1" applyFill="1" applyBorder="1"/>
    <xf numFmtId="0" fontId="61" fillId="9" borderId="6" xfId="0" applyFont="1" applyFill="1" applyBorder="1" applyAlignment="1">
      <alignment wrapText="1"/>
    </xf>
    <xf numFmtId="0" fontId="33" fillId="5" borderId="2" xfId="0" applyFont="1" applyFill="1" applyBorder="1" applyAlignment="1">
      <alignment horizontal="center"/>
    </xf>
    <xf numFmtId="0" fontId="12" fillId="6" borderId="6" xfId="0" applyFont="1" applyFill="1" applyBorder="1" applyAlignment="1">
      <alignment horizontal="center" wrapText="1"/>
    </xf>
    <xf numFmtId="0" fontId="34" fillId="5" borderId="7" xfId="0" applyFont="1" applyFill="1" applyBorder="1"/>
    <xf numFmtId="0" fontId="59" fillId="6" borderId="5" xfId="0" applyFont="1" applyFill="1" applyBorder="1" applyAlignment="1">
      <alignment horizontal="center"/>
    </xf>
    <xf numFmtId="0" fontId="59" fillId="5" borderId="6" xfId="0" applyFont="1" applyFill="1" applyBorder="1"/>
    <xf numFmtId="0" fontId="59" fillId="14" borderId="13" xfId="0" applyFont="1" applyFill="1" applyBorder="1" applyAlignment="1">
      <alignment horizontal="center"/>
    </xf>
    <xf numFmtId="0" fontId="58" fillId="15" borderId="6" xfId="0" applyFont="1" applyFill="1" applyBorder="1" applyAlignment="1">
      <alignment horizontal="left"/>
    </xf>
    <xf numFmtId="0" fontId="12" fillId="8" borderId="6" xfId="0" applyFont="1" applyFill="1" applyBorder="1" applyAlignment="1">
      <alignment horizontal="center" wrapText="1"/>
    </xf>
    <xf numFmtId="0" fontId="59" fillId="20" borderId="5" xfId="0" applyFont="1" applyFill="1" applyBorder="1" applyAlignment="1">
      <alignment horizontal="center"/>
    </xf>
    <xf numFmtId="0" fontId="12" fillId="6" borderId="14" xfId="0" applyFont="1" applyFill="1" applyBorder="1" applyAlignment="1">
      <alignment horizontal="center" wrapText="1"/>
    </xf>
    <xf numFmtId="0" fontId="33" fillId="5" borderId="7" xfId="0" applyFont="1" applyFill="1" applyBorder="1" applyAlignment="1">
      <alignment horizontal="center"/>
    </xf>
    <xf numFmtId="0" fontId="57" fillId="9" borderId="5" xfId="0" applyFont="1" applyFill="1" applyBorder="1" applyAlignment="1">
      <alignment horizontal="left"/>
    </xf>
    <xf numFmtId="0" fontId="58" fillId="6" borderId="2" xfId="0" applyFont="1" applyFill="1" applyBorder="1" applyAlignment="1">
      <alignment horizontal="center"/>
    </xf>
    <xf numFmtId="0" fontId="58" fillId="9" borderId="6" xfId="0" applyFont="1" applyFill="1" applyBorder="1" applyAlignment="1">
      <alignment horizontal="center"/>
    </xf>
    <xf numFmtId="0" fontId="58" fillId="5" borderId="2" xfId="0" applyFont="1" applyFill="1" applyBorder="1" applyAlignment="1">
      <alignment horizontal="center"/>
    </xf>
    <xf numFmtId="0" fontId="115" fillId="23" borderId="5" xfId="0" applyFont="1" applyFill="1" applyBorder="1"/>
    <xf numFmtId="0" fontId="109" fillId="5" borderId="6" xfId="0" applyFont="1" applyFill="1" applyBorder="1"/>
    <xf numFmtId="0" fontId="58" fillId="15" borderId="7" xfId="0" applyFont="1" applyFill="1" applyBorder="1" applyAlignment="1">
      <alignment horizontal="center"/>
    </xf>
    <xf numFmtId="0" fontId="58" fillId="15" borderId="14" xfId="0" applyFont="1" applyFill="1" applyBorder="1" applyAlignment="1">
      <alignment horizontal="center"/>
    </xf>
    <xf numFmtId="0" fontId="11" fillId="5" borderId="6" xfId="0" applyFont="1" applyFill="1" applyBorder="1" applyAlignment="1">
      <alignment horizontal="center"/>
    </xf>
    <xf numFmtId="0" fontId="62" fillId="9" borderId="6" xfId="0" applyFont="1" applyFill="1" applyBorder="1" applyAlignment="1">
      <alignment wrapText="1"/>
    </xf>
    <xf numFmtId="0" fontId="32" fillId="5" borderId="11" xfId="0" applyFont="1" applyFill="1" applyBorder="1" applyAlignment="1">
      <alignment horizontal="center"/>
    </xf>
    <xf numFmtId="0" fontId="32" fillId="5" borderId="14" xfId="0" applyFont="1" applyFill="1" applyBorder="1" applyAlignment="1">
      <alignment horizontal="center"/>
    </xf>
    <xf numFmtId="0" fontId="115" fillId="11" borderId="6" xfId="0" applyFont="1" applyFill="1" applyBorder="1" applyAlignment="1">
      <alignment horizontal="center"/>
    </xf>
    <xf numFmtId="0" fontId="115" fillId="11" borderId="11" xfId="0" applyFont="1" applyFill="1" applyBorder="1" applyAlignment="1">
      <alignment horizontal="center"/>
    </xf>
    <xf numFmtId="0" fontId="33" fillId="5" borderId="8" xfId="0" applyFont="1" applyFill="1" applyBorder="1" applyAlignment="1">
      <alignment horizontal="center" wrapText="1"/>
    </xf>
    <xf numFmtId="0" fontId="113" fillId="6" borderId="11" xfId="0" applyFont="1" applyFill="1" applyBorder="1" applyAlignment="1">
      <alignment horizontal="center"/>
    </xf>
    <xf numFmtId="0" fontId="113" fillId="6" borderId="14" xfId="0" applyFont="1" applyFill="1" applyBorder="1" applyAlignment="1">
      <alignment horizontal="center"/>
    </xf>
    <xf numFmtId="0" fontId="58" fillId="12" borderId="6" xfId="0" applyFont="1" applyFill="1" applyBorder="1" applyAlignment="1">
      <alignment horizontal="center" wrapText="1"/>
    </xf>
    <xf numFmtId="0" fontId="132" fillId="5" borderId="6" xfId="0" applyFont="1" applyFill="1" applyBorder="1"/>
    <xf numFmtId="168" fontId="133" fillId="0" borderId="0" xfId="0" applyNumberFormat="1" applyFont="1"/>
    <xf numFmtId="0" fontId="113" fillId="5" borderId="6" xfId="0" applyFont="1" applyFill="1" applyBorder="1" applyAlignment="1">
      <alignment horizontal="center"/>
    </xf>
    <xf numFmtId="0" fontId="12" fillId="7" borderId="6" xfId="0" applyFont="1" applyFill="1" applyBorder="1" applyAlignment="1">
      <alignment horizontal="center"/>
    </xf>
    <xf numFmtId="0" fontId="113" fillId="7" borderId="6" xfId="0" applyFont="1" applyFill="1" applyBorder="1" applyAlignment="1">
      <alignment horizontal="center"/>
    </xf>
    <xf numFmtId="0" fontId="58" fillId="20" borderId="14" xfId="0" applyFont="1" applyFill="1" applyBorder="1" applyAlignment="1">
      <alignment horizontal="center" wrapText="1"/>
    </xf>
    <xf numFmtId="0" fontId="58" fillId="15" borderId="14" xfId="0" applyFont="1" applyFill="1" applyBorder="1" applyAlignment="1">
      <alignment horizontal="center" wrapText="1"/>
    </xf>
    <xf numFmtId="0" fontId="125" fillId="6" borderId="7" xfId="0" applyFont="1" applyFill="1" applyBorder="1" applyAlignment="1">
      <alignment horizontal="center"/>
    </xf>
    <xf numFmtId="0" fontId="125" fillId="6" borderId="14" xfId="0" applyFont="1" applyFill="1" applyBorder="1" applyAlignment="1">
      <alignment horizontal="center"/>
    </xf>
    <xf numFmtId="168" fontId="134" fillId="0" borderId="0" xfId="0" applyNumberFormat="1" applyFont="1"/>
    <xf numFmtId="164" fontId="134" fillId="0" borderId="0" xfId="1" applyFont="1"/>
    <xf numFmtId="0" fontId="59" fillId="6" borderId="6" xfId="0" applyFont="1" applyFill="1" applyBorder="1" applyAlignment="1">
      <alignment horizontal="center" wrapText="1"/>
    </xf>
    <xf numFmtId="0" fontId="33" fillId="5" borderId="12" xfId="0" applyFont="1" applyFill="1" applyBorder="1" applyAlignment="1">
      <alignment horizontal="center"/>
    </xf>
    <xf numFmtId="0" fontId="28" fillId="5" borderId="4" xfId="0" applyFont="1" applyFill="1" applyBorder="1" applyAlignment="1">
      <alignment horizontal="center" wrapText="1"/>
    </xf>
    <xf numFmtId="0" fontId="125" fillId="21" borderId="6" xfId="0" applyFont="1" applyFill="1" applyBorder="1" applyAlignment="1">
      <alignment horizontal="center" wrapText="1"/>
    </xf>
    <xf numFmtId="0" fontId="58" fillId="8" borderId="6" xfId="0" applyFont="1" applyFill="1" applyBorder="1" applyAlignment="1">
      <alignment horizontal="center" wrapText="1"/>
    </xf>
    <xf numFmtId="164" fontId="124" fillId="0" borderId="0" xfId="1" applyFont="1" applyAlignment="1">
      <alignment horizontal="right"/>
    </xf>
    <xf numFmtId="165" fontId="124" fillId="0" borderId="0" xfId="0" applyNumberFormat="1" applyFont="1" applyAlignment="1">
      <alignment horizontal="right"/>
    </xf>
    <xf numFmtId="0" fontId="113" fillId="20" borderId="6" xfId="0" applyFont="1" applyFill="1" applyBorder="1" applyAlignment="1">
      <alignment horizontal="center"/>
    </xf>
    <xf numFmtId="0" fontId="7" fillId="5" borderId="6" xfId="0" applyFont="1" applyFill="1" applyBorder="1" applyAlignment="1">
      <alignment horizontal="center" wrapText="1"/>
    </xf>
    <xf numFmtId="0" fontId="109" fillId="5" borderId="6" xfId="0" applyFont="1" applyFill="1" applyBorder="1" applyAlignment="1">
      <alignment horizontal="center" wrapText="1"/>
    </xf>
    <xf numFmtId="0" fontId="59" fillId="13" borderId="6" xfId="0" applyFont="1" applyFill="1" applyBorder="1" applyAlignment="1">
      <alignment horizontal="center" wrapText="1"/>
    </xf>
    <xf numFmtId="0" fontId="59" fillId="13" borderId="6" xfId="0" applyFont="1" applyFill="1" applyBorder="1" applyAlignment="1">
      <alignment horizontal="center"/>
    </xf>
    <xf numFmtId="0" fontId="125" fillId="5" borderId="6" xfId="0" applyFont="1" applyFill="1" applyBorder="1" applyAlignment="1">
      <alignment horizontal="center"/>
    </xf>
    <xf numFmtId="0" fontId="116" fillId="5" borderId="7" xfId="0" applyFont="1" applyFill="1" applyBorder="1" applyAlignment="1">
      <alignment horizontal="center"/>
    </xf>
    <xf numFmtId="0" fontId="59" fillId="6" borderId="44" xfId="0" applyFont="1" applyFill="1" applyBorder="1" applyAlignment="1">
      <alignment horizontal="center"/>
    </xf>
    <xf numFmtId="0" fontId="50" fillId="5" borderId="7" xfId="0" applyFont="1" applyFill="1" applyBorder="1" applyAlignment="1">
      <alignment horizontal="center"/>
    </xf>
    <xf numFmtId="0" fontId="116" fillId="6" borderId="14" xfId="0" applyFont="1" applyFill="1" applyBorder="1" applyAlignment="1">
      <alignment horizontal="center"/>
    </xf>
    <xf numFmtId="0" fontId="136" fillId="11" borderId="14" xfId="0" applyFont="1" applyFill="1" applyBorder="1" applyAlignment="1">
      <alignment horizontal="center" wrapText="1"/>
    </xf>
    <xf numFmtId="0" fontId="58" fillId="6" borderId="6" xfId="0" applyFont="1" applyFill="1" applyBorder="1" applyAlignment="1">
      <alignment horizontal="left" wrapText="1"/>
    </xf>
    <xf numFmtId="0" fontId="58" fillId="6" borderId="6" xfId="0" applyFont="1" applyFill="1" applyBorder="1" applyAlignment="1">
      <alignment horizontal="left"/>
    </xf>
    <xf numFmtId="0" fontId="59" fillId="15" borderId="6" xfId="0" applyFont="1" applyFill="1" applyBorder="1" applyAlignment="1">
      <alignment horizontal="center" wrapText="1"/>
    </xf>
    <xf numFmtId="0" fontId="59" fillId="15" borderId="11" xfId="0" applyFont="1" applyFill="1" applyBorder="1" applyAlignment="1">
      <alignment horizontal="center" wrapText="1"/>
    </xf>
    <xf numFmtId="0" fontId="12" fillId="7" borderId="14" xfId="0" applyFont="1" applyFill="1" applyBorder="1" applyAlignment="1">
      <alignment horizontal="center" wrapText="1"/>
    </xf>
    <xf numFmtId="0" fontId="59" fillId="8" borderId="7" xfId="0" applyFont="1" applyFill="1" applyBorder="1" applyAlignment="1">
      <alignment horizontal="center"/>
    </xf>
    <xf numFmtId="0" fontId="29" fillId="2" borderId="2" xfId="0" applyFont="1" applyFill="1" applyBorder="1" applyAlignment="1">
      <alignment horizontal="right"/>
    </xf>
    <xf numFmtId="0" fontId="28" fillId="27" borderId="6" xfId="0" applyFont="1" applyFill="1" applyBorder="1" applyAlignment="1">
      <alignment horizontal="center"/>
    </xf>
    <xf numFmtId="0" fontId="59" fillId="7" borderId="6" xfId="0" applyFont="1" applyFill="1" applyBorder="1" applyAlignment="1">
      <alignment horizontal="center" wrapText="1"/>
    </xf>
    <xf numFmtId="0" fontId="59" fillId="7" borderId="2" xfId="0" applyFont="1" applyFill="1" applyBorder="1" applyAlignment="1">
      <alignment horizontal="center" wrapText="1"/>
    </xf>
    <xf numFmtId="0" fontId="58" fillId="6" borderId="2" xfId="0" applyFont="1" applyFill="1" applyBorder="1" applyAlignment="1">
      <alignment horizontal="left" wrapText="1"/>
    </xf>
    <xf numFmtId="0" fontId="57" fillId="28" borderId="6" xfId="0" applyFont="1" applyFill="1" applyBorder="1" applyAlignment="1">
      <alignment horizontal="center"/>
    </xf>
    <xf numFmtId="0" fontId="58" fillId="20" borderId="0" xfId="0" applyFont="1" applyFill="1" applyAlignment="1">
      <alignment horizontal="center" wrapText="1"/>
    </xf>
    <xf numFmtId="0" fontId="58" fillId="5" borderId="16" xfId="0" applyFont="1" applyFill="1" applyBorder="1"/>
    <xf numFmtId="0" fontId="58" fillId="5" borderId="42" xfId="0" applyFont="1" applyFill="1" applyBorder="1"/>
    <xf numFmtId="0" fontId="57" fillId="5" borderId="11" xfId="0" applyFont="1" applyFill="1" applyBorder="1" applyAlignment="1">
      <alignment horizontal="center"/>
    </xf>
    <xf numFmtId="0" fontId="57" fillId="5" borderId="44" xfId="0" applyFont="1" applyFill="1" applyBorder="1" applyAlignment="1">
      <alignment wrapText="1"/>
    </xf>
    <xf numFmtId="0" fontId="57" fillId="5" borderId="11" xfId="0" applyFont="1" applyFill="1" applyBorder="1" applyAlignment="1">
      <alignment wrapText="1"/>
    </xf>
    <xf numFmtId="0" fontId="28" fillId="5" borderId="6" xfId="0" applyFont="1" applyFill="1" applyBorder="1" applyAlignment="1">
      <alignment horizontal="center" vertical="center"/>
    </xf>
    <xf numFmtId="0" fontId="139" fillId="5" borderId="6" xfId="0" applyFont="1" applyFill="1" applyBorder="1"/>
    <xf numFmtId="0" fontId="116" fillId="28" borderId="6" xfId="0" applyFont="1" applyFill="1" applyBorder="1" applyAlignment="1">
      <alignment horizontal="center"/>
    </xf>
    <xf numFmtId="0" fontId="113" fillId="13" borderId="6" xfId="0" applyFont="1" applyFill="1" applyBorder="1" applyAlignment="1">
      <alignment horizontal="center"/>
    </xf>
    <xf numFmtId="0" fontId="58" fillId="15" borderId="11" xfId="0" applyFont="1" applyFill="1" applyBorder="1" applyAlignment="1">
      <alignment horizontal="center"/>
    </xf>
    <xf numFmtId="0" fontId="57" fillId="5" borderId="49" xfId="0" applyFont="1" applyFill="1" applyBorder="1"/>
    <xf numFmtId="0" fontId="116" fillId="28" borderId="16" xfId="0" applyFont="1" applyFill="1" applyBorder="1" applyAlignment="1">
      <alignment horizontal="center"/>
    </xf>
    <xf numFmtId="0" fontId="116" fillId="28" borderId="42" xfId="0" applyFont="1" applyFill="1" applyBorder="1" applyAlignment="1">
      <alignment horizontal="center"/>
    </xf>
    <xf numFmtId="0" fontId="116" fillId="28" borderId="17" xfId="0" applyFont="1" applyFill="1" applyBorder="1" applyAlignment="1">
      <alignment horizontal="center"/>
    </xf>
    <xf numFmtId="0" fontId="58" fillId="6" borderId="41" xfId="0" applyFont="1" applyFill="1" applyBorder="1" applyAlignment="1">
      <alignment horizontal="center" wrapText="1"/>
    </xf>
    <xf numFmtId="0" fontId="140" fillId="5" borderId="6" xfId="0" applyFont="1" applyFill="1" applyBorder="1" applyAlignment="1">
      <alignment horizontal="center"/>
    </xf>
    <xf numFmtId="0" fontId="140" fillId="5" borderId="3" xfId="0" applyFont="1" applyFill="1" applyBorder="1" applyAlignment="1">
      <alignment horizontal="center"/>
    </xf>
    <xf numFmtId="0" fontId="58" fillId="11" borderId="7" xfId="0" applyFont="1" applyFill="1" applyBorder="1" applyAlignment="1">
      <alignment horizontal="center"/>
    </xf>
    <xf numFmtId="0" fontId="58" fillId="11" borderId="14" xfId="0" applyFont="1" applyFill="1" applyBorder="1" applyAlignment="1">
      <alignment horizontal="center"/>
    </xf>
    <xf numFmtId="0" fontId="138" fillId="5" borderId="7" xfId="0" applyFont="1" applyFill="1" applyBorder="1"/>
    <xf numFmtId="0" fontId="11" fillId="5" borderId="0" xfId="0" applyFont="1" applyFill="1" applyAlignment="1">
      <alignment horizontal="center"/>
    </xf>
    <xf numFmtId="0" fontId="59" fillId="8" borderId="14" xfId="0" applyFont="1" applyFill="1" applyBorder="1" applyAlignment="1">
      <alignment horizontal="center"/>
    </xf>
    <xf numFmtId="0" fontId="58" fillId="6" borderId="17" xfId="0" applyFont="1" applyFill="1" applyBorder="1" applyAlignment="1">
      <alignment wrapText="1"/>
    </xf>
    <xf numFmtId="0" fontId="28" fillId="5" borderId="48" xfId="0" applyFont="1" applyFill="1" applyBorder="1" applyAlignment="1">
      <alignment horizontal="center"/>
    </xf>
    <xf numFmtId="0" fontId="28" fillId="5" borderId="16" xfId="0" applyFont="1" applyFill="1" applyBorder="1" applyAlignment="1">
      <alignment horizontal="center"/>
    </xf>
    <xf numFmtId="0" fontId="28" fillId="5" borderId="49" xfId="0" applyFont="1" applyFill="1" applyBorder="1" applyAlignment="1">
      <alignment horizontal="center"/>
    </xf>
    <xf numFmtId="0" fontId="28" fillId="5" borderId="50" xfId="0" applyFont="1" applyFill="1" applyBorder="1" applyAlignment="1">
      <alignment horizontal="center"/>
    </xf>
    <xf numFmtId="0" fontId="28" fillId="5" borderId="42" xfId="0" applyFont="1" applyFill="1" applyBorder="1" applyAlignment="1">
      <alignment horizontal="center"/>
    </xf>
    <xf numFmtId="0" fontId="28" fillId="5" borderId="51" xfId="0" applyFont="1" applyFill="1" applyBorder="1" applyAlignment="1">
      <alignment horizontal="center"/>
    </xf>
    <xf numFmtId="0" fontId="28" fillId="5" borderId="52" xfId="0" applyFont="1" applyFill="1" applyBorder="1" applyAlignment="1">
      <alignment horizontal="center"/>
    </xf>
    <xf numFmtId="0" fontId="28" fillId="5" borderId="17" xfId="0" applyFont="1" applyFill="1" applyBorder="1" applyAlignment="1">
      <alignment horizontal="center"/>
    </xf>
    <xf numFmtId="0" fontId="28" fillId="5" borderId="35" xfId="0" applyFont="1" applyFill="1" applyBorder="1" applyAlignment="1">
      <alignment horizontal="center"/>
    </xf>
    <xf numFmtId="0" fontId="5" fillId="8" borderId="9" xfId="0" applyFont="1" applyFill="1" applyBorder="1" applyAlignment="1">
      <alignment horizontal="center"/>
    </xf>
    <xf numFmtId="0" fontId="5" fillId="8" borderId="11" xfId="0" applyFont="1" applyFill="1" applyBorder="1" applyAlignment="1">
      <alignment horizontal="center"/>
    </xf>
    <xf numFmtId="0" fontId="118" fillId="5" borderId="6" xfId="0" applyFont="1" applyFill="1" applyBorder="1" applyAlignment="1">
      <alignment horizontal="center"/>
    </xf>
    <xf numFmtId="0" fontId="125" fillId="13" borderId="6" xfId="0" applyFont="1" applyFill="1" applyBorder="1" applyAlignment="1">
      <alignment horizontal="center"/>
    </xf>
    <xf numFmtId="0" fontId="125" fillId="6" borderId="6" xfId="0" applyFont="1" applyFill="1" applyBorder="1" applyAlignment="1">
      <alignment horizontal="center"/>
    </xf>
    <xf numFmtId="0" fontId="141" fillId="13" borderId="14" xfId="0" applyFont="1" applyFill="1" applyBorder="1" applyAlignment="1">
      <alignment horizontal="center"/>
    </xf>
    <xf numFmtId="0" fontId="118" fillId="5" borderId="16" xfId="0" applyFont="1" applyFill="1" applyBorder="1" applyAlignment="1">
      <alignment horizontal="center"/>
    </xf>
    <xf numFmtId="0" fontId="118" fillId="5" borderId="17" xfId="0" applyFont="1" applyFill="1" applyBorder="1" applyAlignment="1">
      <alignment horizontal="center"/>
    </xf>
    <xf numFmtId="0" fontId="59" fillId="9" borderId="6" xfId="0" applyFont="1" applyFill="1" applyBorder="1" applyAlignment="1">
      <alignment horizontal="center" wrapText="1"/>
    </xf>
    <xf numFmtId="0" fontId="142" fillId="26" borderId="6" xfId="0" applyFont="1" applyFill="1" applyBorder="1"/>
    <xf numFmtId="0" fontId="143" fillId="26" borderId="6" xfId="0" applyFont="1" applyFill="1" applyBorder="1"/>
    <xf numFmtId="0" fontId="57" fillId="6" borderId="6" xfId="0" applyFont="1" applyFill="1" applyBorder="1"/>
    <xf numFmtId="0" fontId="59" fillId="20" borderId="6" xfId="0" applyFont="1" applyFill="1" applyBorder="1" applyAlignment="1">
      <alignment horizontal="center"/>
    </xf>
    <xf numFmtId="0" fontId="125" fillId="13" borderId="11" xfId="0" applyFont="1" applyFill="1" applyBorder="1" applyAlignment="1">
      <alignment horizontal="center"/>
    </xf>
    <xf numFmtId="0" fontId="50" fillId="5" borderId="14" xfId="0" applyFont="1" applyFill="1" applyBorder="1"/>
    <xf numFmtId="0" fontId="59" fillId="20" borderId="6" xfId="0" applyFont="1" applyFill="1" applyBorder="1" applyAlignment="1">
      <alignment horizontal="center" wrapText="1"/>
    </xf>
    <xf numFmtId="0" fontId="58" fillId="5" borderId="11" xfId="0" applyFont="1" applyFill="1" applyBorder="1" applyAlignment="1">
      <alignment horizontal="center"/>
    </xf>
    <xf numFmtId="0" fontId="145" fillId="13" borderId="6" xfId="0" applyFont="1" applyFill="1" applyBorder="1" applyAlignment="1">
      <alignment horizontal="center"/>
    </xf>
    <xf numFmtId="0" fontId="43" fillId="5" borderId="11" xfId="0" applyFont="1" applyFill="1" applyBorder="1" applyAlignment="1">
      <alignment horizontal="center"/>
    </xf>
    <xf numFmtId="0" fontId="57" fillId="6" borderId="6" xfId="0" applyFont="1" applyFill="1" applyBorder="1" applyAlignment="1">
      <alignment wrapText="1"/>
    </xf>
    <xf numFmtId="0" fontId="148" fillId="5" borderId="6" xfId="0" applyFont="1" applyFill="1" applyBorder="1" applyAlignment="1">
      <alignment horizontal="center"/>
    </xf>
    <xf numFmtId="0" fontId="58" fillId="13" borderId="3" xfId="0" applyFont="1" applyFill="1" applyBorder="1" applyAlignment="1">
      <alignment horizontal="center"/>
    </xf>
    <xf numFmtId="0" fontId="59" fillId="28" borderId="42" xfId="0" applyFont="1" applyFill="1" applyBorder="1" applyAlignment="1">
      <alignment horizontal="center"/>
    </xf>
    <xf numFmtId="0" fontId="59" fillId="28" borderId="17" xfId="0" applyFont="1" applyFill="1" applyBorder="1" applyAlignment="1">
      <alignment horizontal="center"/>
    </xf>
    <xf numFmtId="167" fontId="28" fillId="29" borderId="0" xfId="0" applyNumberFormat="1" applyFont="1" applyFill="1"/>
    <xf numFmtId="167" fontId="95" fillId="29" borderId="0" xfId="0" applyNumberFormat="1" applyFont="1" applyFill="1"/>
    <xf numFmtId="167" fontId="12" fillId="29" borderId="0" xfId="0" applyNumberFormat="1" applyFont="1" applyFill="1"/>
    <xf numFmtId="0" fontId="113" fillId="11" borderId="6" xfId="0" applyFont="1" applyFill="1" applyBorder="1" applyAlignment="1">
      <alignment horizontal="center"/>
    </xf>
    <xf numFmtId="0" fontId="132" fillId="23" borderId="6" xfId="0" applyFont="1" applyFill="1" applyBorder="1"/>
    <xf numFmtId="0" fontId="13" fillId="5" borderId="7" xfId="0" applyFont="1" applyFill="1" applyBorder="1"/>
    <xf numFmtId="0" fontId="14" fillId="5" borderId="3" xfId="0" applyFont="1" applyFill="1" applyBorder="1"/>
    <xf numFmtId="0" fontId="116" fillId="15" borderId="41" xfId="0" applyFont="1" applyFill="1" applyBorder="1" applyAlignment="1">
      <alignment horizontal="center" wrapText="1"/>
    </xf>
    <xf numFmtId="0" fontId="25" fillId="5" borderId="6" xfId="0" applyFont="1" applyFill="1" applyBorder="1"/>
    <xf numFmtId="0" fontId="29" fillId="2" borderId="5" xfId="0" applyFont="1" applyFill="1" applyBorder="1"/>
    <xf numFmtId="0" fontId="4" fillId="0" borderId="53" xfId="0" applyFont="1" applyBorder="1"/>
    <xf numFmtId="0" fontId="4" fillId="0" borderId="54" xfId="0" applyFont="1" applyBorder="1"/>
    <xf numFmtId="0" fontId="4" fillId="0" borderId="42" xfId="0" applyFont="1" applyBorder="1"/>
    <xf numFmtId="0" fontId="4" fillId="0" borderId="17" xfId="0" applyFont="1" applyBorder="1"/>
    <xf numFmtId="0" fontId="1" fillId="2" borderId="14" xfId="0" applyFont="1" applyFill="1" applyBorder="1"/>
    <xf numFmtId="0" fontId="2" fillId="3" borderId="40" xfId="0" applyFont="1" applyFill="1" applyBorder="1"/>
    <xf numFmtId="0" fontId="3" fillId="3" borderId="41" xfId="0" applyFont="1" applyFill="1" applyBorder="1"/>
    <xf numFmtId="0" fontId="5" fillId="5" borderId="11" xfId="0" applyFont="1" applyFill="1" applyBorder="1"/>
    <xf numFmtId="165" fontId="117" fillId="19" borderId="0" xfId="0" applyNumberFormat="1" applyFont="1" applyFill="1"/>
    <xf numFmtId="168" fontId="149" fillId="0" borderId="0" xfId="0" applyNumberFormat="1" applyFont="1"/>
    <xf numFmtId="168" fontId="149" fillId="0" borderId="0" xfId="0" applyNumberFormat="1" applyFont="1" applyAlignment="1">
      <alignment horizontal="right"/>
    </xf>
    <xf numFmtId="0" fontId="113" fillId="13" borderId="16" xfId="0" applyFont="1" applyFill="1" applyBorder="1" applyAlignment="1">
      <alignment horizontal="center"/>
    </xf>
    <xf numFmtId="0" fontId="113" fillId="13" borderId="42" xfId="0" applyFont="1" applyFill="1" applyBorder="1" applyAlignment="1">
      <alignment horizontal="center"/>
    </xf>
    <xf numFmtId="0" fontId="59" fillId="5" borderId="42" xfId="0" applyFont="1" applyFill="1" applyBorder="1" applyAlignment="1">
      <alignment horizontal="center"/>
    </xf>
    <xf numFmtId="0" fontId="59" fillId="28" borderId="42" xfId="0" applyFont="1" applyFill="1" applyBorder="1" applyAlignment="1">
      <alignment horizontal="center" wrapText="1"/>
    </xf>
    <xf numFmtId="0" fontId="113" fillId="5" borderId="42" xfId="0" applyFont="1" applyFill="1" applyBorder="1" applyAlignment="1">
      <alignment horizontal="center"/>
    </xf>
    <xf numFmtId="0" fontId="58" fillId="5" borderId="3" xfId="0" applyFont="1" applyFill="1" applyBorder="1"/>
    <xf numFmtId="0" fontId="110" fillId="15" borderId="14" xfId="0" applyFont="1" applyFill="1" applyBorder="1" applyAlignment="1">
      <alignment horizontal="center"/>
    </xf>
    <xf numFmtId="0" fontId="58" fillId="6" borderId="3" xfId="0" applyFont="1" applyFill="1" applyBorder="1"/>
    <xf numFmtId="0" fontId="148" fillId="20" borderId="6" xfId="0" applyFont="1" applyFill="1" applyBorder="1" applyAlignment="1">
      <alignment horizontal="center"/>
    </xf>
    <xf numFmtId="0" fontId="137" fillId="5" borderId="6" xfId="0" applyFont="1" applyFill="1" applyBorder="1" applyAlignment="1">
      <alignment horizontal="center"/>
    </xf>
    <xf numFmtId="0" fontId="12" fillId="5" borderId="8" xfId="0" applyFont="1" applyFill="1" applyBorder="1"/>
    <xf numFmtId="0" fontId="40" fillId="5" borderId="6" xfId="0" applyFont="1" applyFill="1" applyBorder="1" applyAlignment="1">
      <alignment horizontal="center" wrapText="1"/>
    </xf>
    <xf numFmtId="0" fontId="138" fillId="15" borderId="6" xfId="0" applyFont="1" applyFill="1" applyBorder="1"/>
    <xf numFmtId="0" fontId="123" fillId="9" borderId="6" xfId="0" applyFont="1" applyFill="1" applyBorder="1" applyAlignment="1">
      <alignment horizontal="center"/>
    </xf>
    <xf numFmtId="0" fontId="123" fillId="5" borderId="6" xfId="0" applyFont="1" applyFill="1" applyBorder="1" applyAlignment="1">
      <alignment horizontal="center"/>
    </xf>
    <xf numFmtId="0" fontId="50" fillId="5" borderId="17" xfId="0" applyFont="1" applyFill="1" applyBorder="1" applyAlignment="1">
      <alignment horizontal="center"/>
    </xf>
    <xf numFmtId="0" fontId="150" fillId="5" borderId="6" xfId="0" applyFont="1" applyFill="1" applyBorder="1" applyAlignment="1">
      <alignment horizontal="center" wrapText="1"/>
    </xf>
    <xf numFmtId="164" fontId="0" fillId="0" borderId="0" xfId="1" applyFont="1"/>
    <xf numFmtId="166" fontId="28" fillId="29" borderId="0" xfId="0" applyNumberFormat="1" applyFont="1" applyFill="1"/>
    <xf numFmtId="166" fontId="28" fillId="18" borderId="0" xfId="0" applyNumberFormat="1" applyFont="1" applyFill="1"/>
    <xf numFmtId="166" fontId="28" fillId="19" borderId="0" xfId="0" applyNumberFormat="1" applyFont="1" applyFill="1" applyAlignment="1">
      <alignment horizontal="right"/>
    </xf>
    <xf numFmtId="0" fontId="59" fillId="20" borderId="14" xfId="0" applyFont="1" applyFill="1" applyBorder="1" applyAlignment="1">
      <alignment horizontal="center" wrapText="1"/>
    </xf>
    <xf numFmtId="0" fontId="59" fillId="8" borderId="16" xfId="0" applyFont="1" applyFill="1" applyBorder="1" applyAlignment="1">
      <alignment horizontal="center"/>
    </xf>
    <xf numFmtId="0" fontId="144" fillId="5" borderId="6" xfId="0" applyFont="1" applyFill="1" applyBorder="1" applyAlignment="1">
      <alignment horizontal="center"/>
    </xf>
    <xf numFmtId="0" fontId="28" fillId="5" borderId="53" xfId="0" applyFont="1" applyFill="1" applyBorder="1" applyAlignment="1">
      <alignment horizontal="center"/>
    </xf>
    <xf numFmtId="0" fontId="28" fillId="5" borderId="24" xfId="0" applyFont="1" applyFill="1" applyBorder="1" applyAlignment="1">
      <alignment horizontal="center"/>
    </xf>
    <xf numFmtId="0" fontId="28" fillId="13" borderId="6" xfId="0" applyFont="1" applyFill="1" applyBorder="1" applyAlignment="1">
      <alignment horizontal="center"/>
    </xf>
    <xf numFmtId="0" fontId="113" fillId="6" borderId="42" xfId="0" applyFont="1" applyFill="1" applyBorder="1" applyAlignment="1">
      <alignment horizontal="center"/>
    </xf>
    <xf numFmtId="0" fontId="12" fillId="11" borderId="6" xfId="0" applyFont="1" applyFill="1" applyBorder="1"/>
    <xf numFmtId="0" fontId="110" fillId="5" borderId="14" xfId="0" applyFont="1" applyFill="1" applyBorder="1" applyAlignment="1">
      <alignment horizontal="center"/>
    </xf>
    <xf numFmtId="0" fontId="110" fillId="5" borderId="7" xfId="0" applyFont="1" applyFill="1" applyBorder="1" applyAlignment="1">
      <alignment horizontal="center"/>
    </xf>
    <xf numFmtId="0" fontId="123" fillId="15" borderId="6" xfId="0" applyFont="1" applyFill="1" applyBorder="1" applyAlignment="1">
      <alignment horizontal="center"/>
    </xf>
    <xf numFmtId="0" fontId="113" fillId="9" borderId="14" xfId="0" applyFont="1" applyFill="1" applyBorder="1" applyAlignment="1">
      <alignment horizontal="center"/>
    </xf>
    <xf numFmtId="0" fontId="113" fillId="9" borderId="6" xfId="0" applyFont="1" applyFill="1" applyBorder="1" applyAlignment="1">
      <alignment horizontal="center"/>
    </xf>
    <xf numFmtId="0" fontId="113" fillId="9" borderId="11" xfId="0" applyFont="1" applyFill="1" applyBorder="1" applyAlignment="1">
      <alignment horizontal="center"/>
    </xf>
    <xf numFmtId="0" fontId="58" fillId="9" borderId="6" xfId="0" applyFont="1" applyFill="1" applyBorder="1" applyAlignment="1">
      <alignment horizontal="center" wrapText="1"/>
    </xf>
    <xf numFmtId="0" fontId="129" fillId="6" borderId="6" xfId="0" applyFont="1" applyFill="1" applyBorder="1" applyAlignment="1">
      <alignment horizontal="center" wrapText="1"/>
    </xf>
    <xf numFmtId="0" fontId="152" fillId="5" borderId="6" xfId="0" applyFont="1" applyFill="1" applyBorder="1" applyAlignment="1">
      <alignment horizontal="center" wrapText="1"/>
    </xf>
    <xf numFmtId="0" fontId="33" fillId="5" borderId="2" xfId="0" applyFont="1" applyFill="1" applyBorder="1" applyAlignment="1">
      <alignment horizontal="center" wrapText="1"/>
    </xf>
    <xf numFmtId="0" fontId="28" fillId="5" borderId="30" xfId="0" applyFont="1" applyFill="1" applyBorder="1" applyAlignment="1">
      <alignment horizontal="center"/>
    </xf>
    <xf numFmtId="0" fontId="14" fillId="5" borderId="8" xfId="0" applyFont="1" applyFill="1" applyBorder="1" applyAlignment="1">
      <alignment horizontal="center" wrapText="1"/>
    </xf>
    <xf numFmtId="0" fontId="111" fillId="5" borderId="6" xfId="0" applyFont="1" applyFill="1" applyBorder="1" applyAlignment="1">
      <alignment horizontal="center"/>
    </xf>
    <xf numFmtId="0" fontId="58" fillId="5" borderId="8" xfId="0" applyFont="1" applyFill="1" applyBorder="1"/>
    <xf numFmtId="0" fontId="58" fillId="5" borderId="42" xfId="0" applyFont="1" applyFill="1" applyBorder="1" applyAlignment="1">
      <alignment horizontal="center"/>
    </xf>
    <xf numFmtId="0" fontId="17" fillId="5" borderId="11" xfId="0" applyFont="1" applyFill="1" applyBorder="1" applyAlignment="1">
      <alignment horizontal="center" wrapText="1"/>
    </xf>
    <xf numFmtId="0" fontId="116" fillId="5" borderId="6" xfId="0" applyFont="1" applyFill="1" applyBorder="1" applyAlignment="1">
      <alignment horizontal="center"/>
    </xf>
    <xf numFmtId="0" fontId="110" fillId="5" borderId="6" xfId="0" applyFont="1" applyFill="1" applyBorder="1" applyAlignment="1">
      <alignment horizontal="center"/>
    </xf>
    <xf numFmtId="0" fontId="57" fillId="5" borderId="6" xfId="0" applyFont="1" applyFill="1" applyBorder="1" applyAlignment="1">
      <alignment horizontal="center" wrapText="1"/>
    </xf>
    <xf numFmtId="0" fontId="115" fillId="5" borderId="6" xfId="0" applyFont="1" applyFill="1" applyBorder="1" applyAlignment="1">
      <alignment horizontal="center" wrapText="1"/>
    </xf>
    <xf numFmtId="0" fontId="115" fillId="5" borderId="6" xfId="0" applyFont="1" applyFill="1" applyBorder="1" applyAlignment="1">
      <alignment horizontal="center"/>
    </xf>
    <xf numFmtId="0" fontId="118" fillId="5" borderId="7" xfId="0" applyFont="1" applyFill="1" applyBorder="1" applyAlignment="1">
      <alignment horizontal="center"/>
    </xf>
    <xf numFmtId="0" fontId="118" fillId="5" borderId="3" xfId="0" applyFont="1" applyFill="1" applyBorder="1" applyAlignment="1">
      <alignment horizontal="center"/>
    </xf>
    <xf numFmtId="0" fontId="0" fillId="5" borderId="14" xfId="0" applyFill="1" applyBorder="1"/>
    <xf numFmtId="0" fontId="121" fillId="5" borderId="7" xfId="0" applyFont="1" applyFill="1" applyBorder="1" applyAlignment="1">
      <alignment horizontal="center" wrapText="1"/>
    </xf>
    <xf numFmtId="0" fontId="121" fillId="5" borderId="3" xfId="0" applyFont="1" applyFill="1" applyBorder="1" applyAlignment="1">
      <alignment horizontal="center"/>
    </xf>
    <xf numFmtId="0" fontId="116" fillId="5" borderId="6" xfId="0" applyFont="1" applyFill="1" applyBorder="1" applyAlignment="1">
      <alignment horizontal="center" wrapText="1"/>
    </xf>
    <xf numFmtId="0" fontId="123" fillId="5" borderId="14" xfId="0" applyFont="1" applyFill="1" applyBorder="1" applyAlignment="1">
      <alignment horizontal="center"/>
    </xf>
    <xf numFmtId="0" fontId="0" fillId="5" borderId="41" xfId="0" applyFill="1" applyBorder="1"/>
    <xf numFmtId="0" fontId="122" fillId="5" borderId="6" xfId="0" applyFont="1" applyFill="1" applyBorder="1" applyAlignment="1">
      <alignment horizontal="center"/>
    </xf>
    <xf numFmtId="0" fontId="57" fillId="5" borderId="7" xfId="0" applyFont="1" applyFill="1" applyBorder="1" applyAlignment="1">
      <alignment horizontal="center"/>
    </xf>
    <xf numFmtId="0" fontId="117" fillId="5" borderId="6" xfId="0" applyFont="1" applyFill="1" applyBorder="1" applyAlignment="1">
      <alignment horizontal="center"/>
    </xf>
    <xf numFmtId="0" fontId="58" fillId="5" borderId="7" xfId="0" applyFont="1" applyFill="1" applyBorder="1" applyAlignment="1">
      <alignment horizontal="center"/>
    </xf>
    <xf numFmtId="0" fontId="57" fillId="5" borderId="2" xfId="0" applyFont="1" applyFill="1" applyBorder="1" applyAlignment="1">
      <alignment horizontal="center"/>
    </xf>
    <xf numFmtId="0" fontId="28" fillId="5" borderId="10" xfId="0" applyFont="1" applyFill="1" applyBorder="1" applyAlignment="1">
      <alignment horizontal="center" wrapText="1"/>
    </xf>
    <xf numFmtId="0" fontId="0" fillId="5" borderId="45" xfId="0" applyFill="1" applyBorder="1"/>
    <xf numFmtId="0" fontId="57" fillId="5" borderId="42" xfId="0" applyFont="1" applyFill="1" applyBorder="1" applyAlignment="1">
      <alignment horizontal="center"/>
    </xf>
    <xf numFmtId="0" fontId="59" fillId="5" borderId="11" xfId="0" applyFont="1" applyFill="1" applyBorder="1" applyAlignment="1">
      <alignment horizontal="center"/>
    </xf>
    <xf numFmtId="0" fontId="57" fillId="5" borderId="17" xfId="0" applyFont="1" applyFill="1" applyBorder="1" applyAlignment="1">
      <alignment horizontal="center" wrapText="1"/>
    </xf>
    <xf numFmtId="0" fontId="12" fillId="5" borderId="6" xfId="0" applyFont="1" applyFill="1" applyBorder="1" applyAlignment="1">
      <alignment horizontal="center" wrapText="1"/>
    </xf>
    <xf numFmtId="0" fontId="0" fillId="5" borderId="0" xfId="0" applyFill="1"/>
    <xf numFmtId="0" fontId="8" fillId="5" borderId="6" xfId="0" applyFont="1" applyFill="1" applyBorder="1"/>
    <xf numFmtId="0" fontId="9" fillId="5" borderId="11" xfId="0" applyFont="1" applyFill="1" applyBorder="1"/>
    <xf numFmtId="0" fontId="126" fillId="5" borderId="6" xfId="0" applyFont="1" applyFill="1" applyBorder="1" applyAlignment="1">
      <alignment horizontal="center"/>
    </xf>
    <xf numFmtId="0" fontId="10" fillId="5" borderId="11" xfId="0" applyFont="1" applyFill="1" applyBorder="1"/>
    <xf numFmtId="0" fontId="4" fillId="5" borderId="9" xfId="0" applyFont="1" applyFill="1" applyBorder="1"/>
    <xf numFmtId="0" fontId="113" fillId="5" borderId="7" xfId="0" applyFont="1" applyFill="1" applyBorder="1" applyAlignment="1">
      <alignment horizontal="center"/>
    </xf>
    <xf numFmtId="0" fontId="58" fillId="5" borderId="7" xfId="0" applyFont="1" applyFill="1" applyBorder="1" applyAlignment="1">
      <alignment horizontal="center" wrapText="1"/>
    </xf>
    <xf numFmtId="0" fontId="4" fillId="5" borderId="47" xfId="0" applyFont="1" applyFill="1" applyBorder="1"/>
    <xf numFmtId="0" fontId="58" fillId="5" borderId="13" xfId="0" applyFont="1" applyFill="1" applyBorder="1" applyAlignment="1">
      <alignment horizontal="center"/>
    </xf>
    <xf numFmtId="0" fontId="113" fillId="5" borderId="13" xfId="0" applyFont="1" applyFill="1" applyBorder="1" applyAlignment="1">
      <alignment horizontal="center"/>
    </xf>
    <xf numFmtId="0" fontId="59" fillId="5" borderId="13" xfId="0" applyFont="1" applyFill="1" applyBorder="1" applyAlignment="1">
      <alignment horizontal="center"/>
    </xf>
    <xf numFmtId="0" fontId="58" fillId="5" borderId="3" xfId="0" applyFont="1" applyFill="1" applyBorder="1" applyAlignment="1">
      <alignment horizontal="center" wrapText="1"/>
    </xf>
    <xf numFmtId="0" fontId="12" fillId="10" borderId="6" xfId="0" applyFont="1" applyFill="1" applyBorder="1"/>
    <xf numFmtId="0" fontId="11" fillId="10" borderId="6" xfId="0" applyFont="1" applyFill="1" applyBorder="1"/>
    <xf numFmtId="0" fontId="59" fillId="10" borderId="3" xfId="0" applyFont="1" applyFill="1" applyBorder="1" applyAlignment="1">
      <alignment horizontal="center" wrapText="1"/>
    </xf>
    <xf numFmtId="0" fontId="4" fillId="10" borderId="9" xfId="0" applyFont="1" applyFill="1" applyBorder="1"/>
    <xf numFmtId="0" fontId="59" fillId="5" borderId="7" xfId="0" applyFont="1" applyFill="1" applyBorder="1" applyAlignment="1">
      <alignment horizontal="center" wrapText="1"/>
    </xf>
    <xf numFmtId="0" fontId="130" fillId="5" borderId="6" xfId="0" applyFont="1" applyFill="1" applyBorder="1" applyAlignment="1">
      <alignment horizontal="center"/>
    </xf>
    <xf numFmtId="0" fontId="130" fillId="5" borderId="0" xfId="0" applyFont="1" applyFill="1" applyAlignment="1">
      <alignment horizontal="center"/>
    </xf>
    <xf numFmtId="0" fontId="115" fillId="5" borderId="5" xfId="0" applyFont="1" applyFill="1" applyBorder="1"/>
    <xf numFmtId="0" fontId="113" fillId="5" borderId="11" xfId="0" applyFont="1" applyFill="1" applyBorder="1" applyAlignment="1">
      <alignment horizontal="center"/>
    </xf>
    <xf numFmtId="0" fontId="113" fillId="5" borderId="14" xfId="0" applyFont="1" applyFill="1" applyBorder="1" applyAlignment="1">
      <alignment horizontal="center"/>
    </xf>
    <xf numFmtId="0" fontId="115" fillId="5" borderId="11" xfId="0" applyFont="1" applyFill="1" applyBorder="1" applyAlignment="1">
      <alignment horizontal="center"/>
    </xf>
    <xf numFmtId="0" fontId="125" fillId="5" borderId="7" xfId="0" applyFont="1" applyFill="1" applyBorder="1" applyAlignment="1">
      <alignment horizontal="center"/>
    </xf>
    <xf numFmtId="0" fontId="125" fillId="5" borderId="14" xfId="0" applyFont="1" applyFill="1" applyBorder="1" applyAlignment="1">
      <alignment horizontal="center"/>
    </xf>
    <xf numFmtId="0" fontId="125" fillId="5" borderId="6" xfId="0" applyFont="1" applyFill="1" applyBorder="1" applyAlignment="1">
      <alignment horizontal="center" wrapText="1"/>
    </xf>
    <xf numFmtId="0" fontId="58" fillId="5" borderId="14" xfId="0" applyFont="1" applyFill="1" applyBorder="1" applyAlignment="1">
      <alignment horizontal="center" wrapText="1"/>
    </xf>
    <xf numFmtId="0" fontId="61" fillId="5" borderId="6" xfId="0" applyFont="1" applyFill="1" applyBorder="1"/>
    <xf numFmtId="0" fontId="62" fillId="5" borderId="6" xfId="0" applyFont="1" applyFill="1" applyBorder="1" applyAlignment="1">
      <alignment wrapText="1"/>
    </xf>
    <xf numFmtId="0" fontId="62" fillId="5" borderId="6" xfId="0" applyFont="1" applyFill="1" applyBorder="1"/>
    <xf numFmtId="0" fontId="62" fillId="5" borderId="7" xfId="0" applyFont="1" applyFill="1" applyBorder="1"/>
    <xf numFmtId="0" fontId="62" fillId="5" borderId="3" xfId="0" applyFont="1" applyFill="1" applyBorder="1"/>
    <xf numFmtId="0" fontId="61" fillId="5" borderId="6" xfId="0" applyFont="1" applyFill="1" applyBorder="1" applyAlignment="1">
      <alignment wrapText="1"/>
    </xf>
    <xf numFmtId="0" fontId="58" fillId="5" borderId="6" xfId="0" applyFont="1" applyFill="1" applyBorder="1" applyAlignment="1">
      <alignment horizontal="left" wrapText="1"/>
    </xf>
    <xf numFmtId="0" fontId="59" fillId="5" borderId="7" xfId="0" applyFont="1" applyFill="1" applyBorder="1" applyAlignment="1">
      <alignment horizontal="center"/>
    </xf>
    <xf numFmtId="0" fontId="58" fillId="5" borderId="0" xfId="0" applyFont="1" applyFill="1" applyAlignment="1">
      <alignment horizontal="center" wrapText="1"/>
    </xf>
    <xf numFmtId="0" fontId="59" fillId="5" borderId="2" xfId="0" applyFont="1" applyFill="1" applyBorder="1" applyAlignment="1">
      <alignment horizontal="center" wrapText="1"/>
    </xf>
    <xf numFmtId="0" fontId="58" fillId="5" borderId="2" xfId="0" applyFont="1" applyFill="1" applyBorder="1" applyAlignment="1">
      <alignment horizontal="left" wrapText="1"/>
    </xf>
    <xf numFmtId="0" fontId="58" fillId="5" borderId="17" xfId="0" applyFont="1" applyFill="1" applyBorder="1" applyAlignment="1">
      <alignment wrapText="1"/>
    </xf>
    <xf numFmtId="0" fontId="116" fillId="5" borderId="17" xfId="0" applyFont="1" applyFill="1" applyBorder="1" applyAlignment="1">
      <alignment horizontal="center"/>
    </xf>
    <xf numFmtId="0" fontId="145" fillId="5" borderId="6" xfId="0" applyFont="1" applyFill="1" applyBorder="1" applyAlignment="1">
      <alignment horizontal="center"/>
    </xf>
    <xf numFmtId="0" fontId="141" fillId="5" borderId="14" xfId="0" applyFont="1" applyFill="1" applyBorder="1" applyAlignment="1">
      <alignment horizontal="center"/>
    </xf>
    <xf numFmtId="0" fontId="59" fillId="5" borderId="17" xfId="0" applyFont="1" applyFill="1" applyBorder="1" applyAlignment="1">
      <alignment horizontal="center"/>
    </xf>
    <xf numFmtId="0" fontId="57" fillId="5" borderId="6" xfId="0" applyFont="1" applyFill="1" applyBorder="1"/>
    <xf numFmtId="0" fontId="57" fillId="5" borderId="6" xfId="0" applyFont="1" applyFill="1" applyBorder="1" applyAlignment="1">
      <alignment wrapText="1"/>
    </xf>
    <xf numFmtId="0" fontId="7" fillId="5" borderId="3" xfId="0" applyFont="1" applyFill="1" applyBorder="1"/>
    <xf numFmtId="0" fontId="59" fillId="5" borderId="42" xfId="0" applyFont="1" applyFill="1" applyBorder="1" applyAlignment="1">
      <alignment horizontal="center" wrapText="1"/>
    </xf>
    <xf numFmtId="0" fontId="5" fillId="5" borderId="7" xfId="0" applyFont="1" applyFill="1" applyBorder="1"/>
    <xf numFmtId="0" fontId="4" fillId="10" borderId="7" xfId="0" applyFont="1" applyFill="1" applyBorder="1"/>
    <xf numFmtId="0" fontId="4" fillId="10" borderId="0" xfId="0" applyFont="1" applyFill="1"/>
    <xf numFmtId="0" fontId="12" fillId="10" borderId="3" xfId="0" applyFont="1" applyFill="1" applyBorder="1"/>
    <xf numFmtId="0" fontId="4" fillId="10" borderId="6" xfId="0" applyFont="1" applyFill="1" applyBorder="1"/>
    <xf numFmtId="0" fontId="4" fillId="10" borderId="3" xfId="0" applyFont="1" applyFill="1" applyBorder="1"/>
    <xf numFmtId="0" fontId="116" fillId="5" borderId="41" xfId="0" applyFont="1" applyFill="1" applyBorder="1" applyAlignment="1">
      <alignment horizontal="center" wrapText="1"/>
    </xf>
    <xf numFmtId="0" fontId="138" fillId="5" borderId="6" xfId="0" applyFont="1" applyFill="1" applyBorder="1"/>
    <xf numFmtId="0" fontId="125" fillId="5" borderId="11" xfId="0" applyFont="1" applyFill="1" applyBorder="1" applyAlignment="1">
      <alignment horizontal="center"/>
    </xf>
    <xf numFmtId="0" fontId="113" fillId="5" borderId="16" xfId="0" applyFont="1" applyFill="1" applyBorder="1" applyAlignment="1">
      <alignment horizontal="center"/>
    </xf>
    <xf numFmtId="0" fontId="59" fillId="5" borderId="14" xfId="0" applyFont="1" applyFill="1" applyBorder="1" applyAlignment="1">
      <alignment horizontal="center" wrapText="1"/>
    </xf>
    <xf numFmtId="0" fontId="5" fillId="5" borderId="9" xfId="0" applyFont="1" applyFill="1" applyBorder="1" applyAlignment="1">
      <alignment horizontal="center"/>
    </xf>
    <xf numFmtId="0" fontId="5" fillId="5" borderId="11" xfId="0" applyFont="1" applyFill="1" applyBorder="1" applyAlignment="1">
      <alignment horizontal="center"/>
    </xf>
    <xf numFmtId="0" fontId="57" fillId="5" borderId="7" xfId="0" applyFont="1" applyFill="1" applyBorder="1"/>
    <xf numFmtId="0" fontId="151" fillId="5" borderId="13" xfId="0" applyFont="1" applyFill="1" applyBorder="1" applyAlignment="1">
      <alignment horizontal="center"/>
    </xf>
    <xf numFmtId="0" fontId="52" fillId="5" borderId="5" xfId="0" applyFont="1" applyFill="1" applyBorder="1" applyAlignment="1">
      <alignment horizontal="center"/>
    </xf>
    <xf numFmtId="0" fontId="146" fillId="5" borderId="11" xfId="0" applyFont="1" applyFill="1" applyBorder="1" applyAlignment="1">
      <alignment horizontal="center"/>
    </xf>
    <xf numFmtId="0" fontId="146" fillId="5" borderId="14" xfId="0" applyFont="1" applyFill="1" applyBorder="1" applyAlignment="1">
      <alignment horizontal="center"/>
    </xf>
    <xf numFmtId="0" fontId="33" fillId="5" borderId="3" xfId="0" applyFont="1" applyFill="1" applyBorder="1" applyAlignment="1">
      <alignment horizontal="center"/>
    </xf>
    <xf numFmtId="0" fontId="6" fillId="5" borderId="0" xfId="0" applyFont="1" applyFill="1"/>
    <xf numFmtId="0" fontId="6" fillId="5" borderId="9" xfId="0" applyFont="1" applyFill="1" applyBorder="1"/>
    <xf numFmtId="0" fontId="153" fillId="5" borderId="6" xfId="0" applyFont="1" applyFill="1" applyBorder="1" applyAlignment="1">
      <alignment horizontal="center"/>
    </xf>
    <xf numFmtId="0" fontId="59" fillId="5" borderId="16" xfId="0" applyFont="1" applyFill="1" applyBorder="1" applyAlignment="1">
      <alignment horizontal="center"/>
    </xf>
    <xf numFmtId="0" fontId="7" fillId="5" borderId="2" xfId="0" applyFont="1" applyFill="1" applyBorder="1"/>
    <xf numFmtId="0" fontId="4" fillId="5" borderId="55" xfId="0" applyFont="1" applyFill="1" applyBorder="1"/>
    <xf numFmtId="0" fontId="50" fillId="10" borderId="14" xfId="0" applyFont="1" applyFill="1" applyBorder="1"/>
    <xf numFmtId="0" fontId="33" fillId="5" borderId="9" xfId="0" applyFont="1" applyFill="1" applyBorder="1" applyAlignment="1">
      <alignment horizontal="center"/>
    </xf>
    <xf numFmtId="0" fontId="129" fillId="5" borderId="6" xfId="0" applyFont="1" applyFill="1" applyBorder="1" applyAlignment="1">
      <alignment horizontal="center" wrapText="1"/>
    </xf>
    <xf numFmtId="0" fontId="7" fillId="5" borderId="2" xfId="0" applyFont="1" applyFill="1" applyBorder="1" applyAlignment="1">
      <alignment horizontal="center"/>
    </xf>
    <xf numFmtId="0" fontId="113" fillId="5" borderId="6" xfId="0" applyFont="1" applyFill="1" applyBorder="1" applyAlignment="1">
      <alignment horizontal="center" wrapText="1"/>
    </xf>
    <xf numFmtId="0" fontId="129" fillId="5" borderId="6" xfId="0" applyFont="1" applyFill="1" applyBorder="1" applyAlignment="1">
      <alignment horizontal="center"/>
    </xf>
    <xf numFmtId="0" fontId="12" fillId="9" borderId="5" xfId="0" applyFont="1" applyFill="1" applyBorder="1" applyAlignment="1">
      <alignment horizontal="center"/>
    </xf>
    <xf numFmtId="0" fontId="12" fillId="5" borderId="5" xfId="0" applyFont="1" applyFill="1" applyBorder="1" applyAlignment="1">
      <alignment horizontal="center"/>
    </xf>
    <xf numFmtId="0" fontId="58" fillId="9" borderId="5" xfId="0" applyFont="1" applyFill="1" applyBorder="1" applyAlignment="1">
      <alignment horizontal="center"/>
    </xf>
    <xf numFmtId="0" fontId="58" fillId="15" borderId="15" xfId="0" applyFont="1" applyFill="1" applyBorder="1" applyAlignment="1">
      <alignment horizontal="center"/>
    </xf>
    <xf numFmtId="0" fontId="27" fillId="5" borderId="7" xfId="0" applyFont="1" applyFill="1" applyBorder="1"/>
    <xf numFmtId="0" fontId="29" fillId="2" borderId="14" xfId="0" applyFont="1" applyFill="1" applyBorder="1"/>
    <xf numFmtId="0" fontId="4" fillId="0" borderId="14" xfId="0" applyFont="1" applyBorder="1"/>
    <xf numFmtId="0" fontId="4" fillId="5" borderId="14" xfId="0" applyFont="1" applyFill="1" applyBorder="1"/>
    <xf numFmtId="0" fontId="17" fillId="5" borderId="14" xfId="0" applyFont="1" applyFill="1" applyBorder="1"/>
    <xf numFmtId="0" fontId="11" fillId="5" borderId="14" xfId="0" applyFont="1" applyFill="1" applyBorder="1"/>
    <xf numFmtId="0" fontId="50" fillId="5" borderId="14" xfId="0" applyFont="1" applyFill="1" applyBorder="1" applyAlignment="1">
      <alignment horizontal="center"/>
    </xf>
    <xf numFmtId="0" fontId="33" fillId="5" borderId="14" xfId="0" applyFont="1" applyFill="1" applyBorder="1"/>
    <xf numFmtId="0" fontId="34" fillId="5" borderId="14" xfId="0" applyFont="1" applyFill="1" applyBorder="1"/>
    <xf numFmtId="0" fontId="12" fillId="5" borderId="14" xfId="0" applyFont="1" applyFill="1" applyBorder="1"/>
    <xf numFmtId="0" fontId="58" fillId="6" borderId="14" xfId="0" applyFont="1" applyFill="1" applyBorder="1" applyAlignment="1">
      <alignment horizontal="center"/>
    </xf>
    <xf numFmtId="0" fontId="26" fillId="5" borderId="14" xfId="0" applyFont="1" applyFill="1" applyBorder="1" applyAlignment="1">
      <alignment wrapText="1"/>
    </xf>
    <xf numFmtId="0" fontId="15" fillId="5" borderId="14" xfId="0" applyFont="1" applyFill="1" applyBorder="1"/>
    <xf numFmtId="0" fontId="5" fillId="5" borderId="14" xfId="0" applyFont="1" applyFill="1" applyBorder="1" applyAlignment="1">
      <alignment wrapText="1"/>
    </xf>
    <xf numFmtId="0" fontId="37" fillId="5" borderId="14" xfId="0" applyFont="1" applyFill="1" applyBorder="1" applyAlignment="1">
      <alignment wrapText="1"/>
    </xf>
    <xf numFmtId="0" fontId="36" fillId="5" borderId="14" xfId="0" applyFont="1" applyFill="1" applyBorder="1" applyAlignment="1">
      <alignment wrapText="1"/>
    </xf>
    <xf numFmtId="0" fontId="12" fillId="5" borderId="14" xfId="0" applyFont="1" applyFill="1" applyBorder="1" applyAlignment="1">
      <alignment wrapText="1"/>
    </xf>
    <xf numFmtId="0" fontId="12" fillId="5" borderId="14" xfId="0" applyFont="1" applyFill="1" applyBorder="1" applyAlignment="1">
      <alignment horizontal="center"/>
    </xf>
    <xf numFmtId="0" fontId="38" fillId="5" borderId="14" xfId="0" applyFont="1" applyFill="1" applyBorder="1"/>
    <xf numFmtId="0" fontId="152" fillId="5" borderId="14" xfId="0" applyFont="1" applyFill="1" applyBorder="1" applyAlignment="1">
      <alignment horizontal="center" wrapText="1"/>
    </xf>
    <xf numFmtId="0" fontId="154" fillId="5" borderId="14" xfId="0" applyFont="1" applyFill="1" applyBorder="1" applyAlignment="1">
      <alignment horizontal="center" wrapText="1"/>
    </xf>
    <xf numFmtId="0" fontId="113" fillId="9" borderId="14" xfId="0" applyFont="1" applyFill="1" applyBorder="1" applyAlignment="1">
      <alignment horizontal="center" wrapText="1"/>
    </xf>
    <xf numFmtId="0" fontId="150" fillId="5" borderId="14" xfId="0" applyFont="1" applyFill="1" applyBorder="1" applyAlignment="1">
      <alignment horizontal="center" wrapText="1"/>
    </xf>
    <xf numFmtId="0" fontId="40" fillId="5" borderId="14" xfId="0" applyFont="1" applyFill="1" applyBorder="1" applyAlignment="1">
      <alignment horizontal="center" wrapText="1"/>
    </xf>
    <xf numFmtId="0" fontId="4" fillId="0" borderId="12" xfId="0" applyFont="1" applyBorder="1"/>
    <xf numFmtId="0" fontId="109" fillId="5" borderId="14" xfId="0" applyFont="1" applyFill="1" applyBorder="1" applyAlignment="1">
      <alignment horizontal="center"/>
    </xf>
    <xf numFmtId="0" fontId="17" fillId="5" borderId="6" xfId="0" applyFont="1" applyFill="1" applyBorder="1" applyAlignment="1">
      <alignment horizontal="center"/>
    </xf>
    <xf numFmtId="0" fontId="17" fillId="11" borderId="6" xfId="0" applyFont="1" applyFill="1" applyBorder="1" applyAlignment="1">
      <alignment horizontal="center" wrapText="1"/>
    </xf>
    <xf numFmtId="0" fontId="55" fillId="0" borderId="0" xfId="0" applyFont="1"/>
    <xf numFmtId="0" fontId="155" fillId="0" borderId="0" xfId="0" applyFont="1" applyAlignment="1">
      <alignment horizontal="center"/>
    </xf>
    <xf numFmtId="0" fontId="60" fillId="5" borderId="0" xfId="0" applyFont="1" applyFill="1" applyAlignment="1">
      <alignment horizontal="center"/>
    </xf>
    <xf numFmtId="0" fontId="0" fillId="0" borderId="56" xfId="0" applyBorder="1"/>
    <xf numFmtId="165" fontId="71" fillId="0" borderId="58" xfId="0" applyNumberFormat="1" applyFont="1" applyBorder="1" applyAlignment="1">
      <alignment horizontal="right"/>
    </xf>
    <xf numFmtId="165" fontId="12" fillId="0" borderId="59" xfId="0" applyNumberFormat="1" applyFont="1" applyBorder="1" applyAlignment="1">
      <alignment horizontal="right"/>
    </xf>
    <xf numFmtId="0" fontId="73" fillId="0" borderId="57" xfId="0" applyFont="1" applyBorder="1" applyAlignment="1">
      <alignment horizontal="right"/>
    </xf>
    <xf numFmtId="0" fontId="0" fillId="0" borderId="57" xfId="0" applyBorder="1" applyAlignment="1">
      <alignment horizontal="right"/>
    </xf>
    <xf numFmtId="165" fontId="19" fillId="0" borderId="61" xfId="0" applyNumberFormat="1" applyFont="1" applyBorder="1" applyAlignment="1">
      <alignment horizontal="right"/>
    </xf>
    <xf numFmtId="165" fontId="79" fillId="0" borderId="60" xfId="0" applyNumberFormat="1" applyFont="1" applyBorder="1" applyAlignment="1">
      <alignment horizontal="right"/>
    </xf>
    <xf numFmtId="169" fontId="59" fillId="20" borderId="0" xfId="0" applyNumberFormat="1" applyFont="1" applyFill="1"/>
    <xf numFmtId="0" fontId="156" fillId="0" borderId="24" xfId="0" applyFont="1" applyBorder="1" applyAlignment="1">
      <alignment horizontal="center"/>
    </xf>
    <xf numFmtId="0" fontId="60" fillId="0" borderId="0" xfId="0" applyFont="1" applyAlignment="1">
      <alignment horizontal="center"/>
    </xf>
    <xf numFmtId="165" fontId="79" fillId="0" borderId="62" xfId="0" applyNumberFormat="1" applyFont="1" applyBorder="1" applyAlignment="1">
      <alignment horizontal="right"/>
    </xf>
    <xf numFmtId="0" fontId="0" fillId="0" borderId="63" xfId="0" applyBorder="1"/>
    <xf numFmtId="169" fontId="156" fillId="20" borderId="0" xfId="0" applyNumberFormat="1" applyFont="1" applyFill="1"/>
    <xf numFmtId="0" fontId="85" fillId="0" borderId="0" xfId="0" applyFont="1" applyAlignment="1">
      <alignment horizontal="center"/>
    </xf>
    <xf numFmtId="165" fontId="73" fillId="0" borderId="57" xfId="0" applyNumberFormat="1" applyFont="1" applyBorder="1" applyAlignment="1">
      <alignment horizontal="right"/>
    </xf>
    <xf numFmtId="0" fontId="0" fillId="0" borderId="57" xfId="0" applyBorder="1"/>
    <xf numFmtId="165" fontId="12" fillId="0" borderId="58" xfId="0" applyNumberFormat="1" applyFont="1" applyBorder="1" applyAlignment="1">
      <alignment horizontal="right"/>
    </xf>
    <xf numFmtId="165" fontId="12" fillId="0" borderId="64" xfId="0" applyNumberFormat="1" applyFont="1" applyBorder="1" applyAlignment="1">
      <alignment horizontal="right"/>
    </xf>
    <xf numFmtId="165" fontId="12" fillId="0" borderId="65" xfId="0" applyNumberFormat="1" applyFont="1" applyBorder="1" applyAlignment="1">
      <alignment horizontal="right"/>
    </xf>
    <xf numFmtId="0" fontId="83" fillId="0" borderId="0" xfId="0" applyFont="1" applyAlignment="1">
      <alignment horizontal="left"/>
    </xf>
    <xf numFmtId="0" fontId="74" fillId="0" borderId="0" xfId="0" applyFont="1" applyAlignment="1">
      <alignment horizontal="left"/>
    </xf>
    <xf numFmtId="0" fontId="7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155" fillId="0" borderId="0" xfId="0" applyFont="1" applyAlignment="1">
      <alignment horizontal="left"/>
    </xf>
    <xf numFmtId="0" fontId="157" fillId="0" borderId="0" xfId="0" applyFont="1" applyAlignment="1">
      <alignment horizontal="right"/>
    </xf>
    <xf numFmtId="168" fontId="28" fillId="0" borderId="0" xfId="0" applyNumberFormat="1" applyFont="1"/>
    <xf numFmtId="0" fontId="75" fillId="0" borderId="24" xfId="0" applyFont="1" applyBorder="1"/>
    <xf numFmtId="0" fontId="11" fillId="0" borderId="24" xfId="0" applyFont="1" applyBorder="1"/>
    <xf numFmtId="165" fontId="78" fillId="0" borderId="24" xfId="0" applyNumberFormat="1" applyFont="1" applyBorder="1" applyAlignment="1">
      <alignment horizontal="right"/>
    </xf>
    <xf numFmtId="165" fontId="70" fillId="0" borderId="24" xfId="0" applyNumberFormat="1" applyFont="1" applyBorder="1" applyAlignment="1">
      <alignment horizontal="right"/>
    </xf>
    <xf numFmtId="168" fontId="28" fillId="0" borderId="24" xfId="0" applyNumberFormat="1" applyFont="1" applyBorder="1" applyAlignment="1">
      <alignment horizontal="right"/>
    </xf>
    <xf numFmtId="0" fontId="0" fillId="0" borderId="66" xfId="0" applyBorder="1"/>
    <xf numFmtId="0" fontId="88" fillId="0" borderId="24" xfId="0" applyFont="1" applyBorder="1"/>
    <xf numFmtId="0" fontId="7" fillId="0" borderId="24" xfId="0" applyFont="1" applyBorder="1" applyAlignment="1">
      <alignment horizontal="center"/>
    </xf>
    <xf numFmtId="165" fontId="78" fillId="0" borderId="24" xfId="0" applyNumberFormat="1" applyFont="1" applyBorder="1"/>
    <xf numFmtId="165" fontId="70" fillId="0" borderId="24" xfId="0" applyNumberFormat="1" applyFont="1" applyBorder="1"/>
    <xf numFmtId="167" fontId="78" fillId="0" borderId="24" xfId="0" applyNumberFormat="1" applyFont="1" applyBorder="1" applyAlignment="1">
      <alignment horizontal="right"/>
    </xf>
    <xf numFmtId="168" fontId="124" fillId="0" borderId="24" xfId="0" applyNumberFormat="1" applyFont="1" applyBorder="1" applyAlignment="1">
      <alignment horizontal="right"/>
    </xf>
    <xf numFmtId="0" fontId="11" fillId="0" borderId="0" xfId="0" applyFont="1" applyAlignment="1">
      <alignment horizontal="left"/>
    </xf>
    <xf numFmtId="168" fontId="158" fillId="0" borderId="24" xfId="0" applyNumberFormat="1" applyFont="1" applyBorder="1"/>
    <xf numFmtId="168" fontId="28" fillId="0" borderId="24" xfId="0" applyNumberFormat="1" applyFont="1" applyBorder="1"/>
    <xf numFmtId="0" fontId="74" fillId="0" borderId="4" xfId="0" applyFont="1" applyBorder="1" applyAlignment="1">
      <alignment horizontal="left"/>
    </xf>
    <xf numFmtId="0" fontId="76" fillId="0" borderId="4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0" fillId="0" borderId="4" xfId="0" applyFont="1" applyBorder="1" applyAlignment="1">
      <alignment horizontal="left"/>
    </xf>
    <xf numFmtId="0" fontId="12" fillId="0" borderId="30" xfId="0" applyFont="1" applyBorder="1" applyAlignment="1">
      <alignment horizontal="left"/>
    </xf>
    <xf numFmtId="0" fontId="83" fillId="0" borderId="30" xfId="0" applyFont="1" applyBorder="1" applyAlignment="1">
      <alignment horizontal="left"/>
    </xf>
    <xf numFmtId="0" fontId="84" fillId="0" borderId="0" xfId="0" applyFont="1" applyAlignment="1">
      <alignment horizontal="left"/>
    </xf>
    <xf numFmtId="0" fontId="157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90" fillId="0" borderId="30" xfId="0" applyFont="1" applyBorder="1"/>
    <xf numFmtId="0" fontId="91" fillId="0" borderId="30" xfId="0" applyFont="1" applyBorder="1"/>
    <xf numFmtId="0" fontId="74" fillId="0" borderId="30" xfId="0" applyFont="1" applyBorder="1" applyAlignment="1">
      <alignment horizontal="left"/>
    </xf>
    <xf numFmtId="0" fontId="76" fillId="0" borderId="30" xfId="0" applyFont="1" applyBorder="1" applyAlignment="1">
      <alignment horizontal="left"/>
    </xf>
    <xf numFmtId="0" fontId="7" fillId="0" borderId="30" xfId="0" applyFont="1" applyBorder="1" applyAlignment="1">
      <alignment horizontal="left"/>
    </xf>
    <xf numFmtId="0" fontId="70" fillId="0" borderId="30" xfId="0" applyFont="1" applyBorder="1" applyAlignment="1">
      <alignment horizontal="left"/>
    </xf>
    <xf numFmtId="165" fontId="7" fillId="0" borderId="24" xfId="0" applyNumberFormat="1" applyFont="1" applyBorder="1" applyAlignment="1">
      <alignment horizontal="center"/>
    </xf>
    <xf numFmtId="0" fontId="155" fillId="0" borderId="30" xfId="0" applyFont="1" applyBorder="1" applyAlignment="1">
      <alignment horizontal="left"/>
    </xf>
    <xf numFmtId="0" fontId="0" fillId="0" borderId="68" xfId="0" applyBorder="1"/>
    <xf numFmtId="0" fontId="0" fillId="0" borderId="67" xfId="0" applyBorder="1"/>
    <xf numFmtId="0" fontId="0" fillId="0" borderId="69" xfId="0" applyBorder="1"/>
    <xf numFmtId="165" fontId="81" fillId="0" borderId="24" xfId="0" applyNumberFormat="1" applyFont="1" applyBorder="1" applyAlignment="1">
      <alignment horizontal="right"/>
    </xf>
    <xf numFmtId="165" fontId="124" fillId="0" borderId="24" xfId="0" applyNumberFormat="1" applyFont="1" applyBorder="1" applyAlignment="1">
      <alignment horizontal="right"/>
    </xf>
    <xf numFmtId="164" fontId="124" fillId="0" borderId="24" xfId="1" applyFont="1" applyBorder="1" applyAlignment="1">
      <alignment horizontal="right"/>
    </xf>
    <xf numFmtId="164" fontId="28" fillId="0" borderId="24" xfId="1" applyFont="1" applyBorder="1" applyAlignment="1">
      <alignment horizontal="right"/>
    </xf>
    <xf numFmtId="0" fontId="28" fillId="0" borderId="6" xfId="0" applyFont="1" applyBorder="1" applyAlignment="1">
      <alignment horizontal="center"/>
    </xf>
    <xf numFmtId="0" fontId="12" fillId="0" borderId="6" xfId="0" applyFont="1" applyBorder="1" applyAlignment="1">
      <alignment wrapText="1"/>
    </xf>
    <xf numFmtId="0" fontId="28" fillId="0" borderId="17" xfId="0" applyFont="1" applyBorder="1" applyAlignment="1">
      <alignment horizontal="center"/>
    </xf>
    <xf numFmtId="0" fontId="113" fillId="5" borderId="14" xfId="0" applyFont="1" applyFill="1" applyBorder="1" applyAlignment="1">
      <alignment horizontal="center" wrapText="1"/>
    </xf>
    <xf numFmtId="0" fontId="15" fillId="5" borderId="14" xfId="0" applyFont="1" applyFill="1" applyBorder="1" applyAlignment="1">
      <alignment horizontal="center" wrapText="1"/>
    </xf>
    <xf numFmtId="0" fontId="12" fillId="9" borderId="6" xfId="0" applyFont="1" applyFill="1" applyBorder="1" applyAlignment="1">
      <alignment wrapText="1"/>
    </xf>
    <xf numFmtId="0" fontId="12" fillId="8" borderId="6" xfId="0" applyFont="1" applyFill="1" applyBorder="1" applyAlignment="1">
      <alignment horizontal="center"/>
    </xf>
    <xf numFmtId="0" fontId="58" fillId="21" borderId="6" xfId="0" applyFont="1" applyFill="1" applyBorder="1" applyAlignment="1">
      <alignment horizontal="center"/>
    </xf>
    <xf numFmtId="0" fontId="17" fillId="21" borderId="6" xfId="0" applyFont="1" applyFill="1" applyBorder="1" applyAlignment="1">
      <alignment horizontal="center"/>
    </xf>
    <xf numFmtId="0" fontId="28" fillId="21" borderId="6" xfId="0" applyFont="1" applyFill="1" applyBorder="1" applyAlignment="1">
      <alignment horizontal="center"/>
    </xf>
    <xf numFmtId="0" fontId="58" fillId="8" borderId="7" xfId="0" applyFont="1" applyFill="1" applyBorder="1" applyAlignment="1">
      <alignment horizontal="center"/>
    </xf>
    <xf numFmtId="0" fontId="115" fillId="6" borderId="6" xfId="0" applyFont="1" applyFill="1" applyBorder="1" applyAlignment="1">
      <alignment horizontal="center"/>
    </xf>
    <xf numFmtId="0" fontId="2" fillId="3" borderId="0" xfId="0" applyFont="1" applyFill="1"/>
    <xf numFmtId="0" fontId="115" fillId="5" borderId="7" xfId="0" applyFont="1" applyFill="1" applyBorder="1" applyAlignment="1">
      <alignment horizontal="center"/>
    </xf>
    <xf numFmtId="0" fontId="115" fillId="30" borderId="6" xfId="0" applyFont="1" applyFill="1" applyBorder="1" applyAlignment="1">
      <alignment horizontal="center"/>
    </xf>
    <xf numFmtId="0" fontId="12" fillId="15" borderId="5" xfId="0" applyFont="1" applyFill="1" applyBorder="1" applyAlignment="1">
      <alignment horizontal="center"/>
    </xf>
    <xf numFmtId="0" fontId="3" fillId="15" borderId="6" xfId="0" applyFont="1" applyFill="1" applyBorder="1" applyAlignment="1">
      <alignment horizontal="center"/>
    </xf>
    <xf numFmtId="0" fontId="125" fillId="21" borderId="6" xfId="0" applyFont="1" applyFill="1" applyBorder="1" applyAlignment="1">
      <alignment horizontal="center"/>
    </xf>
    <xf numFmtId="0" fontId="59" fillId="21" borderId="6" xfId="0" applyFont="1" applyFill="1" applyBorder="1" applyAlignment="1">
      <alignment horizontal="center"/>
    </xf>
    <xf numFmtId="0" fontId="59" fillId="21" borderId="7" xfId="0" applyFont="1" applyFill="1" applyBorder="1" applyAlignment="1">
      <alignment horizontal="center"/>
    </xf>
    <xf numFmtId="165" fontId="160" fillId="0" borderId="0" xfId="0" applyNumberFormat="1" applyFont="1"/>
    <xf numFmtId="165" fontId="161" fillId="0" borderId="0" xfId="0" applyNumberFormat="1" applyFont="1"/>
    <xf numFmtId="165" fontId="162" fillId="0" borderId="0" xfId="0" applyNumberFormat="1" applyFont="1"/>
    <xf numFmtId="165" fontId="163" fillId="0" borderId="0" xfId="0" applyNumberFormat="1" applyFont="1"/>
    <xf numFmtId="166" fontId="164" fillId="0" borderId="0" xfId="0" applyNumberFormat="1" applyFont="1"/>
    <xf numFmtId="168" fontId="165" fillId="0" borderId="0" xfId="0" applyNumberFormat="1" applyFont="1"/>
    <xf numFmtId="165" fontId="160" fillId="0" borderId="0" xfId="0" applyNumberFormat="1" applyFont="1" applyAlignment="1">
      <alignment horizontal="right"/>
    </xf>
    <xf numFmtId="165" fontId="161" fillId="0" borderId="0" xfId="0" applyNumberFormat="1" applyFont="1" applyAlignment="1">
      <alignment horizontal="right"/>
    </xf>
    <xf numFmtId="165" fontId="162" fillId="0" borderId="0" xfId="0" applyNumberFormat="1" applyFont="1" applyAlignment="1">
      <alignment horizontal="right"/>
    </xf>
    <xf numFmtId="165" fontId="163" fillId="0" borderId="0" xfId="0" applyNumberFormat="1" applyFont="1" applyAlignment="1">
      <alignment horizontal="right"/>
    </xf>
    <xf numFmtId="166" fontId="164" fillId="0" borderId="0" xfId="0" applyNumberFormat="1" applyFont="1" applyAlignment="1">
      <alignment horizontal="right"/>
    </xf>
    <xf numFmtId="165" fontId="166" fillId="0" borderId="0" xfId="0" applyNumberFormat="1" applyFont="1" applyAlignment="1">
      <alignment horizontal="right"/>
    </xf>
    <xf numFmtId="0" fontId="33" fillId="5" borderId="14" xfId="0" applyFont="1" applyFill="1" applyBorder="1" applyAlignment="1">
      <alignment horizontal="center" wrapText="1"/>
    </xf>
    <xf numFmtId="0" fontId="41" fillId="5" borderId="5" xfId="0" applyFont="1" applyFill="1" applyBorder="1"/>
    <xf numFmtId="0" fontId="33" fillId="15" borderId="14" xfId="0" applyFont="1" applyFill="1" applyBorder="1" applyAlignment="1">
      <alignment horizontal="center"/>
    </xf>
    <xf numFmtId="0" fontId="59" fillId="5" borderId="2" xfId="0" applyFont="1" applyFill="1" applyBorder="1" applyAlignment="1">
      <alignment horizontal="center"/>
    </xf>
    <xf numFmtId="0" fontId="17" fillId="15" borderId="7" xfId="0" applyFont="1" applyFill="1" applyBorder="1" applyAlignment="1">
      <alignment horizontal="center" wrapText="1"/>
    </xf>
    <xf numFmtId="0" fontId="12" fillId="8" borderId="14" xfId="0" applyFont="1" applyFill="1" applyBorder="1" applyAlignment="1">
      <alignment horizontal="center" wrapText="1"/>
    </xf>
    <xf numFmtId="0" fontId="58" fillId="5" borderId="11" xfId="0" applyFont="1" applyFill="1" applyBorder="1"/>
    <xf numFmtId="0" fontId="50" fillId="5" borderId="6" xfId="0" applyFont="1" applyFill="1" applyBorder="1" applyAlignment="1">
      <alignment horizontal="left" vertical="center"/>
    </xf>
    <xf numFmtId="0" fontId="167" fillId="12" borderId="6" xfId="0" applyFont="1" applyFill="1" applyBorder="1" applyAlignment="1">
      <alignment horizontal="center" vertical="center" wrapText="1"/>
    </xf>
    <xf numFmtId="0" fontId="13" fillId="5" borderId="2" xfId="0" applyFont="1" applyFill="1" applyBorder="1"/>
    <xf numFmtId="0" fontId="109" fillId="5" borderId="2" xfId="0" applyFont="1" applyFill="1" applyBorder="1"/>
    <xf numFmtId="0" fontId="109" fillId="20" borderId="14" xfId="0" applyFont="1" applyFill="1" applyBorder="1" applyAlignment="1">
      <alignment horizontal="center" wrapText="1"/>
    </xf>
    <xf numFmtId="0" fontId="17" fillId="6" borderId="6" xfId="0" applyFont="1" applyFill="1" applyBorder="1" applyAlignment="1">
      <alignment horizontal="center"/>
    </xf>
    <xf numFmtId="0" fontId="59" fillId="6" borderId="2" xfId="0" applyFont="1" applyFill="1" applyBorder="1" applyAlignment="1">
      <alignment horizontal="center" wrapText="1"/>
    </xf>
    <xf numFmtId="0" fontId="59" fillId="6" borderId="3" xfId="0" applyFont="1" applyFill="1" applyBorder="1" applyAlignment="1">
      <alignment horizontal="center" wrapText="1"/>
    </xf>
    <xf numFmtId="0" fontId="17" fillId="15" borderId="6" xfId="0" applyFont="1" applyFill="1" applyBorder="1" applyAlignment="1">
      <alignment horizontal="center"/>
    </xf>
    <xf numFmtId="0" fontId="57" fillId="11" borderId="7" xfId="0" applyFont="1" applyFill="1" applyBorder="1" applyAlignment="1">
      <alignment horizontal="center"/>
    </xf>
    <xf numFmtId="0" fontId="116" fillId="11" borderId="6" xfId="0" applyFont="1" applyFill="1" applyBorder="1"/>
    <xf numFmtId="0" fontId="168" fillId="23" borderId="2" xfId="0" applyFont="1" applyFill="1" applyBorder="1" applyAlignment="1">
      <alignment horizontal="center"/>
    </xf>
    <xf numFmtId="0" fontId="168" fillId="23" borderId="6" xfId="0" applyFont="1" applyFill="1" applyBorder="1" applyAlignment="1">
      <alignment horizontal="center"/>
    </xf>
    <xf numFmtId="0" fontId="168" fillId="5" borderId="0" xfId="0" applyFont="1" applyFill="1" applyAlignment="1">
      <alignment horizontal="center"/>
    </xf>
    <xf numFmtId="0" fontId="12" fillId="11" borderId="6" xfId="0" applyFont="1" applyFill="1" applyBorder="1" applyAlignment="1">
      <alignment horizontal="center" wrapText="1"/>
    </xf>
    <xf numFmtId="0" fontId="169" fillId="0" borderId="2" xfId="0" applyFont="1" applyBorder="1"/>
    <xf numFmtId="0" fontId="50" fillId="5" borderId="11" xfId="0" applyFont="1" applyFill="1" applyBorder="1" applyAlignment="1">
      <alignment horizontal="center"/>
    </xf>
    <xf numFmtId="0" fontId="170" fillId="6" borderId="6" xfId="0" applyFont="1" applyFill="1" applyBorder="1" applyAlignment="1">
      <alignment horizontal="center"/>
    </xf>
    <xf numFmtId="0" fontId="115" fillId="6" borderId="6" xfId="0" applyFont="1" applyFill="1" applyBorder="1" applyAlignment="1">
      <alignment horizontal="center" wrapText="1"/>
    </xf>
    <xf numFmtId="0" fontId="3" fillId="13" borderId="5" xfId="0" applyFont="1" applyFill="1" applyBorder="1" applyAlignment="1">
      <alignment horizontal="center"/>
    </xf>
    <xf numFmtId="0" fontId="3" fillId="13" borderId="6" xfId="0" applyFont="1" applyFill="1" applyBorder="1" applyAlignment="1">
      <alignment horizontal="center"/>
    </xf>
    <xf numFmtId="0" fontId="59" fillId="9" borderId="11" xfId="0" applyFont="1" applyFill="1" applyBorder="1" applyAlignment="1">
      <alignment horizontal="center"/>
    </xf>
    <xf numFmtId="0" fontId="59" fillId="11" borderId="7" xfId="0" applyFont="1" applyFill="1" applyBorder="1" applyAlignment="1">
      <alignment horizontal="center"/>
    </xf>
    <xf numFmtId="0" fontId="17" fillId="8" borderId="7" xfId="0" applyFont="1" applyFill="1" applyBorder="1"/>
    <xf numFmtId="0" fontId="17" fillId="6" borderId="11" xfId="0" applyFont="1" applyFill="1" applyBorder="1" applyAlignment="1">
      <alignment horizontal="center"/>
    </xf>
    <xf numFmtId="0" fontId="57" fillId="6" borderId="14" xfId="0" applyFont="1" applyFill="1" applyBorder="1" applyAlignment="1">
      <alignment horizontal="center"/>
    </xf>
    <xf numFmtId="0" fontId="12" fillId="5" borderId="7" xfId="0" applyFont="1" applyFill="1" applyBorder="1" applyAlignment="1">
      <alignment horizontal="center"/>
    </xf>
    <xf numFmtId="0" fontId="12" fillId="9" borderId="1" xfId="0" applyFont="1" applyFill="1" applyBorder="1" applyAlignment="1">
      <alignment horizontal="center"/>
    </xf>
    <xf numFmtId="0" fontId="57" fillId="15" borderId="43" xfId="0" applyFont="1" applyFill="1" applyBorder="1" applyAlignment="1">
      <alignment horizontal="center"/>
    </xf>
    <xf numFmtId="0" fontId="115" fillId="6" borderId="2" xfId="0" applyFont="1" applyFill="1" applyBorder="1" applyAlignment="1">
      <alignment horizontal="center"/>
    </xf>
    <xf numFmtId="0" fontId="2" fillId="3" borderId="12" xfId="0" applyFont="1" applyFill="1" applyBorder="1"/>
    <xf numFmtId="0" fontId="12" fillId="5" borderId="7" xfId="0" applyFont="1" applyFill="1" applyBorder="1" applyAlignment="1">
      <alignment horizontal="center" wrapText="1"/>
    </xf>
    <xf numFmtId="0" fontId="33" fillId="5" borderId="41" xfId="0" applyFont="1" applyFill="1" applyBorder="1" applyAlignment="1">
      <alignment horizontal="center"/>
    </xf>
    <xf numFmtId="0" fontId="12" fillId="6" borderId="7" xfId="0" applyFont="1" applyFill="1" applyBorder="1" applyAlignment="1">
      <alignment horizontal="center"/>
    </xf>
    <xf numFmtId="0" fontId="59" fillId="15" borderId="1" xfId="0" applyFont="1" applyFill="1" applyBorder="1" applyAlignment="1">
      <alignment horizontal="center"/>
    </xf>
    <xf numFmtId="0" fontId="59" fillId="15" borderId="2" xfId="0" applyFont="1" applyFill="1" applyBorder="1" applyAlignment="1">
      <alignment horizontal="center"/>
    </xf>
    <xf numFmtId="0" fontId="12" fillId="6" borderId="6" xfId="0" applyFont="1" applyFill="1" applyBorder="1" applyAlignment="1">
      <alignment horizontal="center"/>
    </xf>
    <xf numFmtId="0" fontId="58" fillId="9" borderId="6" xfId="0" applyFont="1" applyFill="1" applyBorder="1" applyAlignment="1">
      <alignment horizontal="center" vertical="center" wrapText="1"/>
    </xf>
    <xf numFmtId="0" fontId="58" fillId="9" borderId="6" xfId="0" applyFont="1" applyFill="1" applyBorder="1" applyAlignment="1">
      <alignment horizontal="center" vertical="center"/>
    </xf>
    <xf numFmtId="0" fontId="172" fillId="11" borderId="6" xfId="0" applyFont="1" applyFill="1" applyBorder="1" applyAlignment="1">
      <alignment horizontal="center" vertical="center" wrapText="1"/>
    </xf>
    <xf numFmtId="0" fontId="59" fillId="20" borderId="6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 wrapText="1"/>
    </xf>
    <xf numFmtId="0" fontId="12" fillId="6" borderId="6" xfId="0" applyFont="1" applyFill="1" applyBorder="1" applyAlignment="1">
      <alignment horizontal="center" vertical="center" wrapText="1"/>
    </xf>
    <xf numFmtId="0" fontId="116" fillId="9" borderId="6" xfId="0" applyFont="1" applyFill="1" applyBorder="1" applyAlignment="1">
      <alignment horizontal="center" vertical="center" wrapText="1"/>
    </xf>
    <xf numFmtId="0" fontId="174" fillId="9" borderId="2" xfId="0" applyFont="1" applyFill="1" applyBorder="1" applyAlignment="1">
      <alignment horizontal="center"/>
    </xf>
    <xf numFmtId="0" fontId="58" fillId="9" borderId="7" xfId="0" applyFont="1" applyFill="1" applyBorder="1" applyAlignment="1">
      <alignment horizontal="center"/>
    </xf>
    <xf numFmtId="0" fontId="28" fillId="5" borderId="1" xfId="0" applyFont="1" applyFill="1" applyBorder="1" applyAlignment="1">
      <alignment horizontal="center" vertical="center"/>
    </xf>
    <xf numFmtId="0" fontId="28" fillId="5" borderId="2" xfId="0" applyFont="1" applyFill="1" applyBorder="1" applyAlignment="1">
      <alignment horizontal="center" vertical="center"/>
    </xf>
    <xf numFmtId="0" fontId="50" fillId="5" borderId="6" xfId="0" applyFont="1" applyFill="1" applyBorder="1" applyAlignment="1">
      <alignment horizontal="center" vertical="center"/>
    </xf>
    <xf numFmtId="0" fontId="28" fillId="5" borderId="11" xfId="0" applyFont="1" applyFill="1" applyBorder="1" applyAlignment="1">
      <alignment horizontal="center" vertical="center"/>
    </xf>
    <xf numFmtId="0" fontId="31" fillId="5" borderId="2" xfId="0" applyFont="1" applyFill="1" applyBorder="1" applyAlignment="1">
      <alignment horizontal="center"/>
    </xf>
    <xf numFmtId="0" fontId="31" fillId="5" borderId="11" xfId="0" applyFont="1" applyFill="1" applyBorder="1" applyAlignment="1">
      <alignment horizontal="center"/>
    </xf>
    <xf numFmtId="0" fontId="109" fillId="5" borderId="14" xfId="0" applyFont="1" applyFill="1" applyBorder="1" applyAlignment="1">
      <alignment horizontal="center" wrapText="1"/>
    </xf>
    <xf numFmtId="0" fontId="2" fillId="5" borderId="11" xfId="0" applyFont="1" applyFill="1" applyBorder="1"/>
    <xf numFmtId="0" fontId="140" fillId="5" borderId="9" xfId="0" applyFont="1" applyFill="1" applyBorder="1" applyAlignment="1">
      <alignment horizontal="center"/>
    </xf>
    <xf numFmtId="0" fontId="115" fillId="6" borderId="7" xfId="0" applyFont="1" applyFill="1" applyBorder="1" applyAlignment="1">
      <alignment horizontal="center"/>
    </xf>
    <xf numFmtId="0" fontId="50" fillId="5" borderId="16" xfId="0" applyFont="1" applyFill="1" applyBorder="1" applyAlignment="1">
      <alignment horizontal="center" wrapText="1"/>
    </xf>
    <xf numFmtId="0" fontId="59" fillId="5" borderId="35" xfId="0" applyFont="1" applyFill="1" applyBorder="1" applyAlignment="1">
      <alignment horizontal="center"/>
    </xf>
    <xf numFmtId="0" fontId="7" fillId="0" borderId="11" xfId="0" applyFont="1" applyBorder="1"/>
    <xf numFmtId="0" fontId="28" fillId="5" borderId="7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wrapText="1"/>
    </xf>
    <xf numFmtId="167" fontId="124" fillId="18" borderId="31" xfId="0" applyNumberFormat="1" applyFont="1" applyFill="1" applyBorder="1"/>
    <xf numFmtId="0" fontId="12" fillId="12" borderId="5" xfId="0" applyFont="1" applyFill="1" applyBorder="1"/>
    <xf numFmtId="0" fontId="175" fillId="12" borderId="2" xfId="0" applyFont="1" applyFill="1" applyBorder="1"/>
    <xf numFmtId="0" fontId="17" fillId="5" borderId="55" xfId="0" applyFont="1" applyFill="1" applyBorder="1"/>
    <xf numFmtId="0" fontId="17" fillId="12" borderId="2" xfId="0" applyFont="1" applyFill="1" applyBorder="1"/>
    <xf numFmtId="0" fontId="115" fillId="15" borderId="2" xfId="0" applyFont="1" applyFill="1" applyBorder="1" applyAlignment="1">
      <alignment horizontal="center" wrapText="1"/>
    </xf>
    <xf numFmtId="0" fontId="12" fillId="20" borderId="6" xfId="0" applyFont="1" applyFill="1" applyBorder="1" applyAlignment="1">
      <alignment horizontal="center"/>
    </xf>
    <xf numFmtId="0" fontId="115" fillId="15" borderId="6" xfId="0" applyFont="1" applyFill="1" applyBorder="1" applyAlignment="1">
      <alignment horizontal="center"/>
    </xf>
    <xf numFmtId="0" fontId="58" fillId="15" borderId="2" xfId="0" applyFont="1" applyFill="1" applyBorder="1" applyAlignment="1">
      <alignment horizontal="center"/>
    </xf>
    <xf numFmtId="0" fontId="115" fillId="15" borderId="12" xfId="0" applyFont="1" applyFill="1" applyBorder="1" applyAlignment="1">
      <alignment horizontal="center"/>
    </xf>
    <xf numFmtId="0" fontId="164" fillId="9" borderId="6" xfId="0" applyFont="1" applyFill="1" applyBorder="1" applyAlignment="1">
      <alignment horizontal="center" wrapText="1"/>
    </xf>
    <xf numFmtId="0" fontId="12" fillId="15" borderId="2" xfId="0" applyFont="1" applyFill="1" applyBorder="1" applyAlignment="1">
      <alignment horizontal="center" wrapText="1"/>
    </xf>
    <xf numFmtId="0" fontId="11" fillId="0" borderId="9" xfId="0" applyFont="1" applyBorder="1"/>
    <xf numFmtId="0" fontId="12" fillId="6" borderId="8" xfId="0" applyFont="1" applyFill="1" applyBorder="1" applyAlignment="1">
      <alignment horizontal="center" wrapText="1"/>
    </xf>
    <xf numFmtId="0" fontId="12" fillId="15" borderId="5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0" fontId="3" fillId="13" borderId="5" xfId="0" applyFont="1" applyFill="1" applyBorder="1" applyAlignment="1">
      <alignment horizontal="center" wrapText="1"/>
    </xf>
    <xf numFmtId="0" fontId="58" fillId="7" borderId="6" xfId="0" applyFont="1" applyFill="1" applyBorder="1" applyAlignment="1">
      <alignment horizontal="center" wrapText="1"/>
    </xf>
    <xf numFmtId="0" fontId="28" fillId="5" borderId="17" xfId="0" applyFont="1" applyFill="1" applyBorder="1" applyAlignment="1">
      <alignment horizontal="center" wrapText="1"/>
    </xf>
    <xf numFmtId="0" fontId="7" fillId="5" borderId="9" xfId="0" applyFont="1" applyFill="1" applyBorder="1" applyAlignment="1">
      <alignment horizontal="center" wrapText="1"/>
    </xf>
    <xf numFmtId="0" fontId="0" fillId="0" borderId="70" xfId="0" applyBorder="1"/>
    <xf numFmtId="0" fontId="0" fillId="0" borderId="7" xfId="0" applyBorder="1"/>
    <xf numFmtId="0" fontId="156" fillId="0" borderId="7" xfId="0" applyFont="1" applyBorder="1" applyAlignment="1">
      <alignment horizontal="center"/>
    </xf>
    <xf numFmtId="167" fontId="124" fillId="18" borderId="0" xfId="0" applyNumberFormat="1" applyFont="1" applyFill="1"/>
    <xf numFmtId="167" fontId="124" fillId="20" borderId="0" xfId="0" applyNumberFormat="1" applyFont="1" applyFill="1"/>
    <xf numFmtId="170" fontId="0" fillId="0" borderId="0" xfId="0" applyNumberFormat="1"/>
    <xf numFmtId="0" fontId="3" fillId="5" borderId="12" xfId="0" applyFont="1" applyFill="1" applyBorder="1" applyAlignment="1">
      <alignment horizontal="center"/>
    </xf>
    <xf numFmtId="0" fontId="116" fillId="12" borderId="14" xfId="0" applyFont="1" applyFill="1" applyBorder="1" applyAlignment="1">
      <alignment horizontal="center" vertical="center" wrapText="1"/>
    </xf>
    <xf numFmtId="0" fontId="116" fillId="0" borderId="14" xfId="0" applyFont="1" applyBorder="1"/>
    <xf numFmtId="0" fontId="116" fillId="12" borderId="14" xfId="0" applyFont="1" applyFill="1" applyBorder="1" applyAlignment="1">
      <alignment horizontal="center"/>
    </xf>
    <xf numFmtId="0" fontId="12" fillId="11" borderId="6" xfId="0" applyFont="1" applyFill="1" applyBorder="1" applyAlignment="1">
      <alignment horizontal="center"/>
    </xf>
    <xf numFmtId="0" fontId="12" fillId="0" borderId="7" xfId="0" applyFont="1" applyBorder="1" applyAlignment="1">
      <alignment wrapText="1"/>
    </xf>
    <xf numFmtId="0" fontId="2" fillId="9" borderId="1" xfId="0" applyFont="1" applyFill="1" applyBorder="1" applyAlignment="1">
      <alignment wrapText="1"/>
    </xf>
    <xf numFmtId="0" fontId="121" fillId="5" borderId="2" xfId="0" applyFont="1" applyFill="1" applyBorder="1"/>
    <xf numFmtId="0" fontId="39" fillId="5" borderId="2" xfId="0" applyFont="1" applyFill="1" applyBorder="1" applyAlignment="1">
      <alignment horizontal="center"/>
    </xf>
    <xf numFmtId="0" fontId="2" fillId="3" borderId="10" xfId="0" applyFont="1" applyFill="1" applyBorder="1"/>
    <xf numFmtId="0" fontId="2" fillId="3" borderId="5" xfId="0" applyFont="1" applyFill="1" applyBorder="1"/>
    <xf numFmtId="0" fontId="59" fillId="5" borderId="3" xfId="0" applyFont="1" applyFill="1" applyBorder="1" applyAlignment="1">
      <alignment horizontal="center" vertical="center"/>
    </xf>
    <xf numFmtId="0" fontId="12" fillId="5" borderId="11" xfId="0" applyFont="1" applyFill="1" applyBorder="1" applyAlignment="1">
      <alignment horizontal="center"/>
    </xf>
    <xf numFmtId="0" fontId="28" fillId="0" borderId="7" xfId="0" applyFont="1" applyBorder="1" applyAlignment="1">
      <alignment horizontal="center"/>
    </xf>
    <xf numFmtId="0" fontId="16" fillId="5" borderId="11" xfId="0" applyFont="1" applyFill="1" applyBorder="1"/>
    <xf numFmtId="0" fontId="12" fillId="8" borderId="2" xfId="0" applyFont="1" applyFill="1" applyBorder="1" applyAlignment="1">
      <alignment horizontal="center"/>
    </xf>
    <xf numFmtId="0" fontId="115" fillId="15" borderId="2" xfId="0" applyFont="1" applyFill="1" applyBorder="1" applyAlignment="1">
      <alignment horizontal="center"/>
    </xf>
    <xf numFmtId="0" fontId="115" fillId="15" borderId="6" xfId="0" applyFont="1" applyFill="1" applyBorder="1" applyAlignment="1">
      <alignment horizontal="center" wrapText="1"/>
    </xf>
    <xf numFmtId="0" fontId="156" fillId="15" borderId="2" xfId="0" applyFont="1" applyFill="1" applyBorder="1" applyAlignment="1">
      <alignment horizontal="center"/>
    </xf>
    <xf numFmtId="0" fontId="12" fillId="5" borderId="8" xfId="0" applyFont="1" applyFill="1" applyBorder="1" applyAlignment="1">
      <alignment horizontal="center"/>
    </xf>
    <xf numFmtId="0" fontId="75" fillId="0" borderId="7" xfId="0" applyFont="1" applyBorder="1"/>
    <xf numFmtId="0" fontId="11" fillId="0" borderId="7" xfId="0" applyFont="1" applyBorder="1"/>
    <xf numFmtId="0" fontId="155" fillId="0" borderId="0" xfId="0" applyFont="1" applyAlignment="1">
      <alignment horizontal="right"/>
    </xf>
    <xf numFmtId="168" fontId="158" fillId="0" borderId="0" xfId="0" applyNumberFormat="1" applyFont="1"/>
    <xf numFmtId="0" fontId="155" fillId="0" borderId="4" xfId="0" applyFont="1" applyBorder="1" applyAlignment="1">
      <alignment horizontal="right"/>
    </xf>
    <xf numFmtId="0" fontId="39" fillId="5" borderId="12" xfId="0" applyFont="1" applyFill="1" applyBorder="1" applyAlignment="1">
      <alignment horizontal="center"/>
    </xf>
    <xf numFmtId="0" fontId="12" fillId="31" borderId="2" xfId="0" applyFont="1" applyFill="1" applyBorder="1" applyAlignment="1">
      <alignment horizontal="center"/>
    </xf>
    <xf numFmtId="0" fontId="115" fillId="12" borderId="1" xfId="0" applyFont="1" applyFill="1" applyBorder="1" applyAlignment="1">
      <alignment horizontal="center"/>
    </xf>
    <xf numFmtId="0" fontId="115" fillId="12" borderId="2" xfId="0" applyFont="1" applyFill="1" applyBorder="1" applyAlignment="1">
      <alignment horizontal="center" wrapText="1"/>
    </xf>
    <xf numFmtId="0" fontId="176" fillId="7" borderId="6" xfId="2" applyFont="1" applyFill="1" applyBorder="1" applyAlignment="1">
      <alignment horizontal="center"/>
    </xf>
    <xf numFmtId="0" fontId="176" fillId="7" borderId="3" xfId="0" applyFont="1" applyFill="1" applyBorder="1" applyAlignment="1">
      <alignment horizontal="center"/>
    </xf>
    <xf numFmtId="0" fontId="17" fillId="8" borderId="6" xfId="0" applyFont="1" applyFill="1" applyBorder="1" applyAlignment="1">
      <alignment horizontal="center" vertical="center"/>
    </xf>
    <xf numFmtId="0" fontId="12" fillId="13" borderId="6" xfId="0" applyFont="1" applyFill="1" applyBorder="1" applyAlignment="1">
      <alignment wrapText="1"/>
    </xf>
    <xf numFmtId="0" fontId="50" fillId="5" borderId="5" xfId="0" applyFont="1" applyFill="1" applyBorder="1" applyAlignment="1">
      <alignment horizontal="center"/>
    </xf>
    <xf numFmtId="0" fontId="50" fillId="13" borderId="5" xfId="0" applyFont="1" applyFill="1" applyBorder="1" applyAlignment="1">
      <alignment horizontal="center"/>
    </xf>
    <xf numFmtId="0" fontId="50" fillId="5" borderId="5" xfId="0" applyFont="1" applyFill="1" applyBorder="1" applyAlignment="1">
      <alignment horizontal="left"/>
    </xf>
    <xf numFmtId="0" fontId="50" fillId="5" borderId="3" xfId="0" applyFont="1" applyFill="1" applyBorder="1"/>
    <xf numFmtId="0" fontId="50" fillId="5" borderId="2" xfId="0" applyFont="1" applyFill="1" applyBorder="1"/>
    <xf numFmtId="0" fontId="11" fillId="5" borderId="7" xfId="0" applyFont="1" applyFill="1" applyBorder="1"/>
    <xf numFmtId="0" fontId="0" fillId="0" borderId="2" xfId="0" applyBorder="1"/>
    <xf numFmtId="0" fontId="50" fillId="5" borderId="11" xfId="0" applyFont="1" applyFill="1" applyBorder="1"/>
    <xf numFmtId="0" fontId="12" fillId="5" borderId="1" xfId="0" applyFont="1" applyFill="1" applyBorder="1"/>
    <xf numFmtId="0" fontId="159" fillId="5" borderId="2" xfId="2" applyFill="1" applyBorder="1" applyAlignment="1">
      <alignment horizontal="center"/>
    </xf>
    <xf numFmtId="0" fontId="12" fillId="5" borderId="2" xfId="0" applyFont="1" applyFill="1" applyBorder="1" applyAlignment="1">
      <alignment horizontal="center"/>
    </xf>
    <xf numFmtId="0" fontId="59" fillId="13" borderId="2" xfId="0" applyFont="1" applyFill="1" applyBorder="1" applyAlignment="1">
      <alignment horizontal="center" wrapText="1"/>
    </xf>
    <xf numFmtId="0" fontId="59" fillId="13" borderId="2" xfId="0" applyFont="1" applyFill="1" applyBorder="1" applyAlignment="1">
      <alignment horizontal="center"/>
    </xf>
    <xf numFmtId="0" fontId="59" fillId="13" borderId="11" xfId="0" applyFont="1" applyFill="1" applyBorder="1" applyAlignment="1">
      <alignment horizontal="center"/>
    </xf>
    <xf numFmtId="0" fontId="59" fillId="13" borderId="10" xfId="0" applyFont="1" applyFill="1" applyBorder="1" applyAlignment="1">
      <alignment horizontal="center"/>
    </xf>
    <xf numFmtId="0" fontId="26" fillId="15" borderId="11" xfId="0" applyFont="1" applyFill="1" applyBorder="1"/>
    <xf numFmtId="0" fontId="26" fillId="15" borderId="11" xfId="0" applyFont="1" applyFill="1" applyBorder="1" applyAlignment="1">
      <alignment wrapText="1"/>
    </xf>
    <xf numFmtId="0" fontId="39" fillId="5" borderId="6" xfId="0" applyFont="1" applyFill="1" applyBorder="1"/>
    <xf numFmtId="0" fontId="39" fillId="5" borderId="7" xfId="0" applyFont="1" applyFill="1" applyBorder="1"/>
    <xf numFmtId="0" fontId="59" fillId="7" borderId="11" xfId="0" applyFont="1" applyFill="1" applyBorder="1" applyAlignment="1">
      <alignment horizontal="center" vertical="center"/>
    </xf>
    <xf numFmtId="0" fontId="12" fillId="9" borderId="11" xfId="0" applyFont="1" applyFill="1" applyBorder="1" applyAlignment="1">
      <alignment horizontal="center"/>
    </xf>
    <xf numFmtId="0" fontId="12" fillId="9" borderId="2" xfId="0" applyFont="1" applyFill="1" applyBorder="1" applyAlignment="1">
      <alignment horizontal="center"/>
    </xf>
    <xf numFmtId="0" fontId="28" fillId="8" borderId="6" xfId="0" applyFont="1" applyFill="1" applyBorder="1" applyAlignment="1">
      <alignment horizontal="center"/>
    </xf>
    <xf numFmtId="0" fontId="28" fillId="5" borderId="12" xfId="0" applyFont="1" applyFill="1" applyBorder="1" applyAlignment="1">
      <alignment horizontal="center"/>
    </xf>
    <xf numFmtId="0" fontId="17" fillId="9" borderId="6" xfId="0" applyFont="1" applyFill="1" applyBorder="1" applyAlignment="1">
      <alignment horizontal="center"/>
    </xf>
    <xf numFmtId="0" fontId="177" fillId="15" borderId="6" xfId="0" applyFont="1" applyFill="1" applyBorder="1" applyAlignment="1">
      <alignment horizontal="center" wrapText="1"/>
    </xf>
    <xf numFmtId="0" fontId="177" fillId="15" borderId="7" xfId="0" applyFont="1" applyFill="1" applyBorder="1" applyAlignment="1">
      <alignment horizontal="center" wrapText="1"/>
    </xf>
    <xf numFmtId="0" fontId="178" fillId="15" borderId="6" xfId="0" applyFont="1" applyFill="1" applyBorder="1" applyAlignment="1">
      <alignment horizontal="center" wrapText="1"/>
    </xf>
    <xf numFmtId="0" fontId="116" fillId="15" borderId="6" xfId="0" applyFont="1" applyFill="1" applyBorder="1" applyAlignment="1">
      <alignment horizontal="center"/>
    </xf>
    <xf numFmtId="0" fontId="125" fillId="15" borderId="72" xfId="0" applyFont="1" applyFill="1" applyBorder="1" applyAlignment="1">
      <alignment horizontal="center" wrapText="1"/>
    </xf>
    <xf numFmtId="0" fontId="125" fillId="15" borderId="2" xfId="0" applyFont="1" applyFill="1" applyBorder="1" applyAlignment="1">
      <alignment horizontal="center" wrapText="1"/>
    </xf>
    <xf numFmtId="0" fontId="125" fillId="15" borderId="35" xfId="0" applyFont="1" applyFill="1" applyBorder="1" applyAlignment="1">
      <alignment horizontal="center" wrapText="1"/>
    </xf>
    <xf numFmtId="0" fontId="12" fillId="6" borderId="6" xfId="0" applyFont="1" applyFill="1" applyBorder="1" applyAlignment="1">
      <alignment horizontal="center" vertical="center"/>
    </xf>
    <xf numFmtId="0" fontId="28" fillId="8" borderId="2" xfId="0" applyFont="1" applyFill="1" applyBorder="1" applyAlignment="1">
      <alignment horizontal="center"/>
    </xf>
    <xf numFmtId="0" fontId="28" fillId="8" borderId="41" xfId="0" applyFont="1" applyFill="1" applyBorder="1" applyAlignment="1">
      <alignment horizontal="center"/>
    </xf>
    <xf numFmtId="0" fontId="44" fillId="5" borderId="7" xfId="0" applyFont="1" applyFill="1" applyBorder="1"/>
    <xf numFmtId="0" fontId="50" fillId="13" borderId="7" xfId="0" applyFont="1" applyFill="1" applyBorder="1" applyAlignment="1">
      <alignment horizontal="center"/>
    </xf>
    <xf numFmtId="0" fontId="12" fillId="15" borderId="6" xfId="0" applyFont="1" applyFill="1" applyBorder="1"/>
    <xf numFmtId="0" fontId="15" fillId="5" borderId="3" xfId="0" applyFont="1" applyFill="1" applyBorder="1" applyAlignment="1">
      <alignment wrapText="1"/>
    </xf>
    <xf numFmtId="0" fontId="50" fillId="5" borderId="5" xfId="0" applyFont="1" applyFill="1" applyBorder="1"/>
    <xf numFmtId="0" fontId="50" fillId="5" borderId="10" xfId="0" applyFont="1" applyFill="1" applyBorder="1"/>
    <xf numFmtId="0" fontId="0" fillId="0" borderId="8" xfId="0" applyBorder="1"/>
    <xf numFmtId="0" fontId="0" fillId="0" borderId="6" xfId="0" applyBorder="1"/>
    <xf numFmtId="0" fontId="59" fillId="5" borderId="1" xfId="0" applyFont="1" applyFill="1" applyBorder="1" applyAlignment="1">
      <alignment horizontal="center"/>
    </xf>
    <xf numFmtId="0" fontId="59" fillId="15" borderId="7" xfId="0" applyFont="1" applyFill="1" applyBorder="1" applyAlignment="1">
      <alignment horizontal="center"/>
    </xf>
    <xf numFmtId="0" fontId="59" fillId="6" borderId="6" xfId="0" applyFont="1" applyFill="1" applyBorder="1" applyAlignment="1">
      <alignment horizontal="center"/>
    </xf>
    <xf numFmtId="0" fontId="59" fillId="9" borderId="2" xfId="0" applyFont="1" applyFill="1" applyBorder="1" applyAlignment="1">
      <alignment horizontal="center"/>
    </xf>
    <xf numFmtId="0" fontId="59" fillId="9" borderId="12" xfId="0" applyFont="1" applyFill="1" applyBorder="1" applyAlignment="1">
      <alignment horizontal="center"/>
    </xf>
    <xf numFmtId="0" fontId="0" fillId="0" borderId="73" xfId="0" applyBorder="1"/>
    <xf numFmtId="165" fontId="81" fillId="0" borderId="7" xfId="0" applyNumberFormat="1" applyFont="1" applyBorder="1"/>
    <xf numFmtId="165" fontId="81" fillId="0" borderId="7" xfId="0" applyNumberFormat="1" applyFont="1" applyBorder="1" applyAlignment="1">
      <alignment horizontal="right"/>
    </xf>
    <xf numFmtId="167" fontId="124" fillId="0" borderId="7" xfId="0" applyNumberFormat="1" applyFont="1" applyBorder="1" applyAlignment="1">
      <alignment horizontal="right"/>
    </xf>
    <xf numFmtId="168" fontId="158" fillId="0" borderId="7" xfId="0" applyNumberFormat="1" applyFont="1" applyBorder="1"/>
    <xf numFmtId="0" fontId="2" fillId="3" borderId="3" xfId="0" applyFont="1" applyFill="1" applyBorder="1" applyAlignment="1">
      <alignment horizontal="center"/>
    </xf>
    <xf numFmtId="0" fontId="12" fillId="12" borderId="3" xfId="0" applyFont="1" applyFill="1" applyBorder="1" applyAlignment="1">
      <alignment horizontal="center" vertical="center" wrapText="1"/>
    </xf>
    <xf numFmtId="0" fontId="17" fillId="5" borderId="7" xfId="0" applyFont="1" applyFill="1" applyBorder="1" applyAlignment="1">
      <alignment horizontal="center"/>
    </xf>
    <xf numFmtId="0" fontId="59" fillId="5" borderId="0" xfId="0" applyFont="1" applyFill="1" applyAlignment="1">
      <alignment horizontal="center"/>
    </xf>
    <xf numFmtId="0" fontId="116" fillId="13" borderId="6" xfId="0" applyFont="1" applyFill="1" applyBorder="1" applyAlignment="1">
      <alignment horizontal="center"/>
    </xf>
    <xf numFmtId="0" fontId="28" fillId="5" borderId="3" xfId="0" applyFont="1" applyFill="1" applyBorder="1"/>
    <xf numFmtId="0" fontId="15" fillId="5" borderId="41" xfId="0" applyFont="1" applyFill="1" applyBorder="1" applyAlignment="1">
      <alignment horizontal="center" wrapText="1"/>
    </xf>
    <xf numFmtId="0" fontId="12" fillId="8" borderId="6" xfId="0" applyFont="1" applyFill="1" applyBorder="1" applyAlignment="1">
      <alignment wrapText="1"/>
    </xf>
    <xf numFmtId="0" fontId="12" fillId="8" borderId="6" xfId="0" applyFont="1" applyFill="1" applyBorder="1"/>
    <xf numFmtId="0" fontId="179" fillId="5" borderId="2" xfId="0" applyFont="1" applyFill="1" applyBorder="1"/>
    <xf numFmtId="0" fontId="28" fillId="5" borderId="5" xfId="0" applyFont="1" applyFill="1" applyBorder="1"/>
    <xf numFmtId="0" fontId="113" fillId="6" borderId="6" xfId="0" applyFont="1" applyFill="1" applyBorder="1" applyAlignment="1">
      <alignment horizontal="center" wrapText="1"/>
    </xf>
    <xf numFmtId="0" fontId="179" fillId="5" borderId="71" xfId="2" applyFont="1" applyFill="1" applyBorder="1" applyAlignment="1">
      <alignment horizontal="center"/>
    </xf>
    <xf numFmtId="0" fontId="28" fillId="5" borderId="7" xfId="0" applyFont="1" applyFill="1" applyBorder="1" applyAlignment="1">
      <alignment wrapText="1"/>
    </xf>
    <xf numFmtId="0" fontId="180" fillId="0" borderId="2" xfId="0" applyFont="1" applyBorder="1"/>
    <xf numFmtId="0" fontId="15" fillId="0" borderId="14" xfId="0" applyFont="1" applyBorder="1" applyAlignment="1">
      <alignment horizontal="center"/>
    </xf>
    <xf numFmtId="0" fontId="15" fillId="0" borderId="44" xfId="0" applyFont="1" applyBorder="1" applyAlignment="1">
      <alignment horizontal="center"/>
    </xf>
    <xf numFmtId="0" fontId="125" fillId="9" borderId="6" xfId="0" applyFont="1" applyFill="1" applyBorder="1" applyAlignment="1">
      <alignment horizontal="center" wrapText="1"/>
    </xf>
    <xf numFmtId="0" fontId="125" fillId="8" borderId="14" xfId="0" applyFont="1" applyFill="1" applyBorder="1" applyAlignment="1">
      <alignment horizontal="center"/>
    </xf>
    <xf numFmtId="0" fontId="52" fillId="8" borderId="11" xfId="0" applyFont="1" applyFill="1" applyBorder="1" applyAlignment="1">
      <alignment horizontal="center"/>
    </xf>
    <xf numFmtId="0" fontId="28" fillId="8" borderId="11" xfId="0" applyFont="1" applyFill="1" applyBorder="1" applyAlignment="1">
      <alignment horizontal="center"/>
    </xf>
    <xf numFmtId="0" fontId="28" fillId="8" borderId="5" xfId="0" applyFont="1" applyFill="1" applyBorder="1" applyAlignment="1">
      <alignment horizontal="center"/>
    </xf>
    <xf numFmtId="0" fontId="3" fillId="6" borderId="14" xfId="0" applyFont="1" applyFill="1" applyBorder="1" applyAlignment="1">
      <alignment horizontal="center"/>
    </xf>
    <xf numFmtId="0" fontId="3" fillId="13" borderId="2" xfId="0" applyFont="1" applyFill="1" applyBorder="1" applyAlignment="1">
      <alignment horizontal="center"/>
    </xf>
    <xf numFmtId="0" fontId="59" fillId="8" borderId="11" xfId="0" applyFont="1" applyFill="1" applyBorder="1"/>
    <xf numFmtId="0" fontId="17" fillId="5" borderId="7" xfId="0" applyFont="1" applyFill="1" applyBorder="1" applyAlignment="1">
      <alignment wrapText="1"/>
    </xf>
    <xf numFmtId="0" fontId="116" fillId="13" borderId="2" xfId="0" applyFont="1" applyFill="1" applyBorder="1" applyAlignment="1">
      <alignment horizontal="center"/>
    </xf>
    <xf numFmtId="165" fontId="124" fillId="0" borderId="0" xfId="0" applyNumberFormat="1" applyFont="1"/>
    <xf numFmtId="0" fontId="12" fillId="7" borderId="6" xfId="0" applyFont="1" applyFill="1" applyBorder="1" applyAlignment="1">
      <alignment horizontal="center" wrapText="1"/>
    </xf>
    <xf numFmtId="0" fontId="181" fillId="7" borderId="7" xfId="0" applyFont="1" applyFill="1" applyBorder="1" applyAlignment="1">
      <alignment horizontal="center" wrapText="1"/>
    </xf>
    <xf numFmtId="0" fontId="12" fillId="6" borderId="6" xfId="0" applyFont="1" applyFill="1" applyBorder="1"/>
    <xf numFmtId="0" fontId="12" fillId="15" borderId="6" xfId="0" applyFont="1" applyFill="1" applyBorder="1" applyAlignment="1">
      <alignment wrapText="1"/>
    </xf>
    <xf numFmtId="0" fontId="15" fillId="5" borderId="2" xfId="0" applyFont="1" applyFill="1" applyBorder="1" applyAlignment="1">
      <alignment horizontal="center"/>
    </xf>
    <xf numFmtId="165" fontId="70" fillId="0" borderId="7" xfId="0" applyNumberFormat="1" applyFont="1" applyBorder="1" applyAlignment="1">
      <alignment horizontal="right"/>
    </xf>
    <xf numFmtId="43" fontId="158" fillId="0" borderId="7" xfId="0" applyNumberFormat="1" applyFont="1" applyBorder="1"/>
    <xf numFmtId="0" fontId="109" fillId="5" borderId="2" xfId="0" applyFont="1" applyFill="1" applyBorder="1" applyAlignment="1">
      <alignment horizontal="center"/>
    </xf>
    <xf numFmtId="0" fontId="28" fillId="5" borderId="2" xfId="0" applyFont="1" applyFill="1" applyBorder="1" applyAlignment="1">
      <alignment horizontal="center" wrapText="1"/>
    </xf>
    <xf numFmtId="0" fontId="15" fillId="5" borderId="11" xfId="0" applyFont="1" applyFill="1" applyBorder="1" applyAlignment="1">
      <alignment horizontal="center"/>
    </xf>
    <xf numFmtId="0" fontId="15" fillId="5" borderId="5" xfId="0" applyFont="1" applyFill="1" applyBorder="1" applyAlignment="1">
      <alignment horizontal="center"/>
    </xf>
    <xf numFmtId="0" fontId="2" fillId="13" borderId="11" xfId="0" applyFont="1" applyFill="1" applyBorder="1" applyAlignment="1">
      <alignment horizontal="center"/>
    </xf>
    <xf numFmtId="0" fontId="12" fillId="20" borderId="6" xfId="0" applyFont="1" applyFill="1" applyBorder="1" applyAlignment="1">
      <alignment wrapText="1"/>
    </xf>
    <xf numFmtId="0" fontId="28" fillId="8" borderId="74" xfId="0" applyFont="1" applyFill="1" applyBorder="1" applyAlignment="1">
      <alignment horizontal="center"/>
    </xf>
    <xf numFmtId="0" fontId="17" fillId="8" borderId="2" xfId="0" applyFont="1" applyFill="1" applyBorder="1" applyAlignment="1">
      <alignment horizontal="center" vertical="center"/>
    </xf>
    <xf numFmtId="0" fontId="28" fillId="20" borderId="11" xfId="0" applyFont="1" applyFill="1" applyBorder="1" applyAlignment="1">
      <alignment horizontal="center"/>
    </xf>
    <xf numFmtId="0" fontId="12" fillId="9" borderId="6" xfId="0" applyFont="1" applyFill="1" applyBorder="1" applyAlignment="1">
      <alignment horizontal="center"/>
    </xf>
    <xf numFmtId="0" fontId="12" fillId="9" borderId="6" xfId="0" applyFont="1" applyFill="1" applyBorder="1" applyAlignment="1">
      <alignment horizontal="center" wrapText="1"/>
    </xf>
    <xf numFmtId="0" fontId="12" fillId="15" borderId="2" xfId="0" applyFont="1" applyFill="1" applyBorder="1" applyAlignment="1">
      <alignment horizontal="center"/>
    </xf>
    <xf numFmtId="0" fontId="12" fillId="5" borderId="10" xfId="0" applyFont="1" applyFill="1" applyBorder="1" applyAlignment="1">
      <alignment horizontal="center"/>
    </xf>
    <xf numFmtId="0" fontId="12" fillId="9" borderId="8" xfId="0" applyFont="1" applyFill="1" applyBorder="1" applyAlignment="1">
      <alignment horizontal="center"/>
    </xf>
    <xf numFmtId="0" fontId="12" fillId="15" borderId="3" xfId="0" applyFont="1" applyFill="1" applyBorder="1" applyAlignment="1">
      <alignment horizontal="center"/>
    </xf>
    <xf numFmtId="0" fontId="50" fillId="13" borderId="6" xfId="0" applyFont="1" applyFill="1" applyBorder="1" applyAlignment="1">
      <alignment horizontal="center"/>
    </xf>
    <xf numFmtId="0" fontId="50" fillId="13" borderId="8" xfId="0" applyFont="1" applyFill="1" applyBorder="1" applyAlignment="1">
      <alignment horizontal="center" wrapText="1"/>
    </xf>
    <xf numFmtId="0" fontId="17" fillId="8" borderId="6" xfId="0" applyFont="1" applyFill="1" applyBorder="1" applyAlignment="1">
      <alignment horizontal="center" wrapText="1"/>
    </xf>
    <xf numFmtId="0" fontId="57" fillId="15" borderId="14" xfId="0" applyFont="1" applyFill="1" applyBorder="1" applyAlignment="1">
      <alignment horizontal="center" wrapText="1"/>
    </xf>
    <xf numFmtId="0" fontId="59" fillId="15" borderId="14" xfId="0" applyFont="1" applyFill="1" applyBorder="1" applyAlignment="1">
      <alignment horizontal="center" wrapText="1"/>
    </xf>
    <xf numFmtId="0" fontId="33" fillId="13" borderId="6" xfId="0" applyFont="1" applyFill="1" applyBorder="1" applyAlignment="1">
      <alignment horizontal="center"/>
    </xf>
    <xf numFmtId="0" fontId="28" fillId="5" borderId="6" xfId="0" applyFont="1" applyFill="1" applyBorder="1" applyAlignment="1">
      <alignment horizontal="left"/>
    </xf>
    <xf numFmtId="0" fontId="28" fillId="8" borderId="6" xfId="0" applyFont="1" applyFill="1" applyBorder="1" applyAlignment="1">
      <alignment wrapText="1"/>
    </xf>
    <xf numFmtId="43" fontId="0" fillId="0" borderId="7" xfId="0" applyNumberFormat="1" applyBorder="1"/>
    <xf numFmtId="0" fontId="28" fillId="8" borderId="6" xfId="0" applyFont="1" applyFill="1" applyBorder="1" applyAlignment="1">
      <alignment horizontal="center" wrapText="1"/>
    </xf>
    <xf numFmtId="0" fontId="15" fillId="5" borderId="14" xfId="0" applyFont="1" applyFill="1" applyBorder="1" applyAlignment="1">
      <alignment horizontal="center"/>
    </xf>
    <xf numFmtId="170" fontId="65" fillId="0" borderId="0" xfId="0" applyNumberFormat="1" applyFont="1"/>
    <xf numFmtId="168" fontId="59" fillId="0" borderId="0" xfId="0" applyNumberFormat="1" applyFont="1"/>
    <xf numFmtId="166" fontId="59" fillId="0" borderId="0" xfId="0" applyNumberFormat="1" applyFont="1" applyAlignment="1">
      <alignment horizontal="right"/>
    </xf>
    <xf numFmtId="168" fontId="156" fillId="0" borderId="0" xfId="0" applyNumberFormat="1" applyFont="1"/>
    <xf numFmtId="170" fontId="0" fillId="0" borderId="24" xfId="0" applyNumberFormat="1" applyBorder="1"/>
    <xf numFmtId="170" fontId="65" fillId="0" borderId="56" xfId="0" applyNumberFormat="1" applyFont="1" applyBorder="1"/>
    <xf numFmtId="170" fontId="65" fillId="0" borderId="63" xfId="0" applyNumberFormat="1" applyFont="1" applyBorder="1"/>
    <xf numFmtId="0" fontId="28" fillId="13" borderId="2" xfId="0" applyFont="1" applyFill="1" applyBorder="1" applyAlignment="1">
      <alignment horizontal="center"/>
    </xf>
    <xf numFmtId="0" fontId="28" fillId="13" borderId="8" xfId="0" applyFont="1" applyFill="1" applyBorder="1" applyAlignment="1">
      <alignment horizontal="center"/>
    </xf>
    <xf numFmtId="0" fontId="3" fillId="8" borderId="6" xfId="0" applyFont="1" applyFill="1" applyBorder="1" applyAlignment="1">
      <alignment horizontal="center"/>
    </xf>
    <xf numFmtId="0" fontId="121" fillId="5" borderId="6" xfId="0" applyFont="1" applyFill="1" applyBorder="1" applyAlignment="1">
      <alignment horizontal="center"/>
    </xf>
    <xf numFmtId="0" fontId="121" fillId="5" borderId="6" xfId="0" applyFont="1" applyFill="1" applyBorder="1" applyAlignment="1">
      <alignment horizontal="center" wrapText="1"/>
    </xf>
    <xf numFmtId="0" fontId="121" fillId="5" borderId="14" xfId="0" applyFont="1" applyFill="1" applyBorder="1" applyAlignment="1">
      <alignment horizontal="center" wrapText="1"/>
    </xf>
    <xf numFmtId="0" fontId="12" fillId="8" borderId="14" xfId="0" applyFont="1" applyFill="1" applyBorder="1" applyAlignment="1">
      <alignment horizontal="center"/>
    </xf>
    <xf numFmtId="0" fontId="119" fillId="13" borderId="6" xfId="0" applyFont="1" applyFill="1" applyBorder="1" applyAlignment="1">
      <alignment horizontal="center" wrapText="1"/>
    </xf>
    <xf numFmtId="0" fontId="66" fillId="0" borderId="0" xfId="0" applyFont="1" applyAlignment="1">
      <alignment horizontal="left" vertical="center"/>
    </xf>
    <xf numFmtId="0" fontId="159" fillId="5" borderId="12" xfId="2" applyFill="1" applyBorder="1" applyAlignment="1">
      <alignment horizontal="center"/>
    </xf>
    <xf numFmtId="0" fontId="22" fillId="5" borderId="12" xfId="0" applyFont="1" applyFill="1" applyBorder="1" applyAlignment="1">
      <alignment horizontal="center"/>
    </xf>
    <xf numFmtId="0" fontId="159" fillId="5" borderId="2" xfId="2" applyFill="1" applyBorder="1" applyAlignment="1">
      <alignment horizontal="center"/>
    </xf>
    <xf numFmtId="0" fontId="22" fillId="5" borderId="2" xfId="0" applyFont="1" applyFill="1" applyBorder="1" applyAlignment="1">
      <alignment horizontal="center"/>
    </xf>
    <xf numFmtId="0" fontId="159" fillId="5" borderId="10" xfId="2" applyFill="1" applyBorder="1" applyAlignment="1">
      <alignment horizontal="center"/>
    </xf>
    <xf numFmtId="0" fontId="22" fillId="5" borderId="3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Medium9"/>
  <colors>
    <mruColors>
      <color rgb="FFF5FD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1"/>
  <sheetViews>
    <sheetView topLeftCell="A80" zoomScale="94" zoomScaleNormal="94" workbookViewId="0">
      <selection activeCell="F156" sqref="F156"/>
    </sheetView>
  </sheetViews>
  <sheetFormatPr defaultColWidth="9.140625" defaultRowHeight="15"/>
  <cols>
    <col min="1" max="1" width="26" customWidth="1"/>
    <col min="2" max="2" width="34.85546875" customWidth="1"/>
    <col min="3" max="3" width="31.85546875" customWidth="1"/>
    <col min="4" max="4" width="32.7109375" customWidth="1"/>
    <col min="5" max="5" width="34.140625" customWidth="1"/>
    <col min="6" max="6" width="35.7109375" customWidth="1"/>
    <col min="7" max="7" width="28.7109375" customWidth="1"/>
    <col min="8" max="8" width="35.42578125" customWidth="1"/>
    <col min="9" max="9" width="29.28515625" customWidth="1"/>
    <col min="10" max="10" width="28" customWidth="1"/>
  </cols>
  <sheetData>
    <row r="1" spans="1:10" ht="30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5"/>
    </row>
    <row r="2" spans="1:10" ht="30" customHeight="1">
      <c r="A2" s="6">
        <v>1</v>
      </c>
      <c r="B2" s="7" t="s">
        <v>9</v>
      </c>
      <c r="C2" s="8" t="s">
        <v>9</v>
      </c>
      <c r="D2" s="9" t="s">
        <v>9</v>
      </c>
      <c r="E2" s="8" t="s">
        <v>9</v>
      </c>
      <c r="F2" s="8" t="s">
        <v>9</v>
      </c>
      <c r="G2" s="10" t="s">
        <v>9</v>
      </c>
      <c r="H2" s="369" t="s">
        <v>10</v>
      </c>
      <c r="I2" s="11" t="s">
        <v>9</v>
      </c>
      <c r="J2" s="5"/>
    </row>
    <row r="3" spans="1:10" ht="30" customHeight="1">
      <c r="A3" s="12">
        <v>2</v>
      </c>
      <c r="B3" s="7" t="s">
        <v>9</v>
      </c>
      <c r="C3" s="8" t="s">
        <v>9</v>
      </c>
      <c r="D3" s="9" t="s">
        <v>9</v>
      </c>
      <c r="E3" s="8" t="s">
        <v>9</v>
      </c>
      <c r="F3" s="8" t="s">
        <v>9</v>
      </c>
      <c r="G3" s="13" t="s">
        <v>9</v>
      </c>
      <c r="H3" s="14" t="s">
        <v>9</v>
      </c>
      <c r="I3" s="15" t="s">
        <v>9</v>
      </c>
      <c r="J3" s="5"/>
    </row>
    <row r="4" spans="1:10" ht="30" customHeight="1">
      <c r="A4" s="16">
        <v>3</v>
      </c>
      <c r="B4" s="7" t="s">
        <v>9</v>
      </c>
      <c r="C4" s="8" t="s">
        <v>9</v>
      </c>
      <c r="D4" s="9" t="s">
        <v>9</v>
      </c>
      <c r="E4" s="8" t="s">
        <v>9</v>
      </c>
      <c r="F4" s="8" t="s">
        <v>9</v>
      </c>
      <c r="G4" s="17" t="s">
        <v>9</v>
      </c>
      <c r="H4" s="18" t="s">
        <v>9</v>
      </c>
      <c r="I4" s="7" t="s">
        <v>9</v>
      </c>
      <c r="J4" s="5"/>
    </row>
    <row r="5" spans="1:10" ht="30" customHeight="1">
      <c r="A5" s="16">
        <v>4</v>
      </c>
      <c r="B5" s="155"/>
      <c r="C5" s="155"/>
      <c r="D5" s="155"/>
      <c r="E5" s="155"/>
      <c r="F5" s="155"/>
      <c r="G5" s="17" t="s">
        <v>9</v>
      </c>
      <c r="H5" s="20" t="s">
        <v>9</v>
      </c>
      <c r="I5" s="7" t="s">
        <v>9</v>
      </c>
      <c r="J5" s="5"/>
    </row>
    <row r="6" spans="1:10" ht="30" customHeight="1">
      <c r="A6" s="16">
        <v>5</v>
      </c>
      <c r="B6" s="155"/>
      <c r="C6" s="155"/>
      <c r="D6" s="155"/>
      <c r="E6" s="155"/>
      <c r="F6" s="155"/>
      <c r="G6" s="8" t="s">
        <v>9</v>
      </c>
      <c r="H6" s="21" t="s">
        <v>9</v>
      </c>
      <c r="I6" s="7" t="s">
        <v>9</v>
      </c>
      <c r="J6" s="5"/>
    </row>
    <row r="7" spans="1:10" ht="30" customHeight="1">
      <c r="A7" s="5">
        <v>6</v>
      </c>
      <c r="B7" s="344"/>
      <c r="C7" s="344"/>
      <c r="D7" s="344"/>
      <c r="E7" s="344"/>
      <c r="F7" s="344"/>
      <c r="G7" s="10" t="s">
        <v>9</v>
      </c>
      <c r="H7" s="375" t="s">
        <v>11</v>
      </c>
      <c r="I7" s="11" t="s">
        <v>9</v>
      </c>
      <c r="J7" s="5"/>
    </row>
    <row r="8" spans="1:10" ht="30" customHeight="1">
      <c r="A8" s="12">
        <v>7</v>
      </c>
      <c r="B8" s="23" t="s">
        <v>9</v>
      </c>
      <c r="C8" s="13" t="s">
        <v>9</v>
      </c>
      <c r="D8" s="13" t="s">
        <v>9</v>
      </c>
      <c r="E8" s="24" t="s">
        <v>9</v>
      </c>
      <c r="F8" s="24" t="s">
        <v>9</v>
      </c>
      <c r="G8" s="25" t="s">
        <v>9</v>
      </c>
      <c r="H8" s="26" t="s">
        <v>9</v>
      </c>
      <c r="I8" s="15" t="s">
        <v>9</v>
      </c>
      <c r="J8" s="5"/>
    </row>
    <row r="9" spans="1:10" ht="30" customHeight="1">
      <c r="A9" s="5">
        <v>8</v>
      </c>
      <c r="B9" s="344"/>
      <c r="C9" s="344"/>
      <c r="D9" s="27" t="s">
        <v>9</v>
      </c>
      <c r="E9" s="10" t="s">
        <v>9</v>
      </c>
      <c r="F9" s="344"/>
      <c r="G9" s="10" t="s">
        <v>9</v>
      </c>
      <c r="H9" s="5"/>
      <c r="I9" s="11" t="s">
        <v>9</v>
      </c>
      <c r="J9" s="5"/>
    </row>
    <row r="10" spans="1:10" ht="30" customHeight="1">
      <c r="A10" s="12">
        <v>9</v>
      </c>
      <c r="B10" s="357"/>
      <c r="C10" s="357"/>
      <c r="D10" s="352"/>
      <c r="E10" s="352"/>
      <c r="F10" s="357"/>
      <c r="G10" s="25" t="s">
        <v>9</v>
      </c>
      <c r="H10" s="26" t="s">
        <v>9</v>
      </c>
      <c r="I10" s="15" t="s">
        <v>9</v>
      </c>
      <c r="J10" s="5"/>
    </row>
    <row r="11" spans="1:10" ht="30" customHeight="1">
      <c r="A11" s="5">
        <v>10</v>
      </c>
      <c r="B11" s="11" t="s">
        <v>9</v>
      </c>
      <c r="C11" s="10" t="s">
        <v>9</v>
      </c>
      <c r="D11" s="10" t="s">
        <v>9</v>
      </c>
      <c r="E11" s="28" t="s">
        <v>9</v>
      </c>
      <c r="F11" s="28" t="s">
        <v>9</v>
      </c>
      <c r="G11" s="29" t="s">
        <v>9</v>
      </c>
      <c r="H11" s="30" t="s">
        <v>9</v>
      </c>
      <c r="I11" s="11" t="s">
        <v>9</v>
      </c>
      <c r="J11" s="5"/>
    </row>
    <row r="12" spans="1:10" ht="30" customHeight="1">
      <c r="A12" s="12">
        <v>11</v>
      </c>
      <c r="B12" s="15" t="s">
        <v>9</v>
      </c>
      <c r="C12" s="25" t="s">
        <v>9</v>
      </c>
      <c r="D12" s="356"/>
      <c r="E12" s="359"/>
      <c r="F12" s="152"/>
      <c r="G12" s="34" t="s">
        <v>9</v>
      </c>
      <c r="H12" s="35" t="s">
        <v>9</v>
      </c>
      <c r="I12" s="15" t="s">
        <v>9</v>
      </c>
      <c r="J12" s="5"/>
    </row>
    <row r="13" spans="1:10" ht="30" customHeight="1">
      <c r="A13" s="5">
        <v>12</v>
      </c>
      <c r="B13" s="41"/>
      <c r="C13" s="42"/>
      <c r="D13" s="43"/>
      <c r="E13" s="44"/>
      <c r="F13" s="43"/>
      <c r="G13" s="44"/>
      <c r="H13" s="45"/>
      <c r="I13" s="46"/>
      <c r="J13" s="5"/>
    </row>
    <row r="14" spans="1:10" ht="30" customHeight="1">
      <c r="A14" s="12">
        <v>13</v>
      </c>
      <c r="B14" s="47"/>
      <c r="C14" s="48"/>
      <c r="D14" s="342"/>
      <c r="E14" s="343"/>
      <c r="F14" s="50"/>
      <c r="G14" s="48"/>
      <c r="H14" s="51"/>
      <c r="I14" s="48"/>
      <c r="J14" s="5"/>
    </row>
    <row r="15" spans="1:10" ht="30" customHeight="1">
      <c r="A15" s="5">
        <v>14</v>
      </c>
      <c r="B15" s="368" t="s">
        <v>12</v>
      </c>
      <c r="C15" s="43"/>
      <c r="D15" s="150"/>
      <c r="E15" s="150"/>
      <c r="F15" s="351"/>
      <c r="G15" s="44"/>
      <c r="H15" s="54"/>
      <c r="I15" s="44"/>
      <c r="J15" s="5"/>
    </row>
    <row r="16" spans="1:10" ht="30" customHeight="1">
      <c r="A16" s="12">
        <v>15</v>
      </c>
      <c r="B16" s="55"/>
      <c r="C16" s="367" t="s">
        <v>13</v>
      </c>
      <c r="D16" s="150"/>
      <c r="E16" s="150"/>
      <c r="F16" s="58"/>
      <c r="G16" s="59"/>
      <c r="H16" s="60"/>
      <c r="I16" s="55"/>
      <c r="J16" s="5"/>
    </row>
    <row r="17" spans="1:10" ht="30" customHeight="1">
      <c r="A17" s="16">
        <v>16</v>
      </c>
      <c r="B17" s="61"/>
      <c r="C17" s="58"/>
      <c r="D17" s="353" t="s">
        <v>14</v>
      </c>
      <c r="E17" s="353" t="s">
        <v>15</v>
      </c>
      <c r="F17" s="345" t="s">
        <v>16</v>
      </c>
      <c r="G17" s="353" t="s">
        <v>17</v>
      </c>
      <c r="H17" s="60"/>
      <c r="I17" s="61"/>
      <c r="J17" s="5"/>
    </row>
    <row r="18" spans="1:10" ht="30" customHeight="1">
      <c r="A18" s="16">
        <v>17</v>
      </c>
      <c r="B18" s="155"/>
      <c r="C18" s="155"/>
      <c r="D18" s="168" t="s">
        <v>18</v>
      </c>
      <c r="E18" s="168" t="s">
        <v>19</v>
      </c>
      <c r="F18" s="155"/>
      <c r="G18" s="168" t="s">
        <v>20</v>
      </c>
      <c r="H18" s="67"/>
      <c r="I18" s="68"/>
      <c r="J18" s="5"/>
    </row>
    <row r="19" spans="1:10" ht="30" customHeight="1">
      <c r="A19" s="16">
        <v>18</v>
      </c>
      <c r="B19" s="155"/>
      <c r="C19" s="383"/>
      <c r="D19" s="150"/>
      <c r="E19" s="150"/>
      <c r="F19" s="155"/>
      <c r="G19" s="67"/>
      <c r="H19" s="67"/>
      <c r="I19" s="67"/>
      <c r="J19" s="5"/>
    </row>
    <row r="20" spans="1:10" ht="30" customHeight="1">
      <c r="A20" s="16">
        <v>19</v>
      </c>
      <c r="B20" s="155"/>
      <c r="C20" s="383"/>
      <c r="D20" s="150"/>
      <c r="E20" s="150"/>
      <c r="F20" s="155"/>
      <c r="G20" s="67"/>
      <c r="H20" s="67"/>
      <c r="I20" s="67"/>
      <c r="J20" s="5"/>
    </row>
    <row r="21" spans="1:10" ht="30" customHeight="1">
      <c r="A21" s="5">
        <v>20</v>
      </c>
      <c r="B21" s="72"/>
      <c r="C21" s="73"/>
      <c r="D21" s="150"/>
      <c r="E21" s="150"/>
      <c r="F21" s="336" t="s">
        <v>21</v>
      </c>
      <c r="G21" s="74"/>
      <c r="H21" s="45"/>
      <c r="I21" s="61"/>
      <c r="J21" s="5"/>
    </row>
    <row r="22" spans="1:10" ht="30" customHeight="1">
      <c r="A22" s="12">
        <v>21</v>
      </c>
      <c r="B22" s="75"/>
      <c r="C22" s="76"/>
      <c r="D22" s="342"/>
      <c r="E22" s="343"/>
      <c r="F22" s="76"/>
      <c r="G22" s="74"/>
      <c r="H22" s="77"/>
      <c r="I22" s="61"/>
      <c r="J22" s="5"/>
    </row>
    <row r="23" spans="1:10" ht="30" customHeight="1">
      <c r="A23" s="16">
        <v>22</v>
      </c>
      <c r="B23" s="78"/>
      <c r="C23" s="74"/>
      <c r="D23" s="386" t="s">
        <v>22</v>
      </c>
      <c r="E23" s="164" t="s">
        <v>23</v>
      </c>
      <c r="F23" s="164" t="s">
        <v>23</v>
      </c>
      <c r="G23" s="353" t="s">
        <v>24</v>
      </c>
      <c r="H23" s="79"/>
      <c r="I23" s="61"/>
      <c r="J23" s="5"/>
    </row>
    <row r="24" spans="1:10" ht="30" customHeight="1">
      <c r="A24" s="16">
        <v>23</v>
      </c>
      <c r="B24" s="382" t="s">
        <v>25</v>
      </c>
      <c r="C24" s="64"/>
      <c r="D24" s="150"/>
      <c r="E24" s="150"/>
      <c r="F24" s="56"/>
      <c r="G24" s="64"/>
      <c r="H24" s="79"/>
      <c r="I24" s="61"/>
      <c r="J24" s="5"/>
    </row>
    <row r="25" spans="1:10" ht="30" customHeight="1">
      <c r="A25" s="16">
        <v>24</v>
      </c>
      <c r="B25" s="376" t="s">
        <v>26</v>
      </c>
      <c r="C25" s="345" t="s">
        <v>26</v>
      </c>
      <c r="D25" s="345" t="s">
        <v>26</v>
      </c>
      <c r="E25" s="345" t="s">
        <v>26</v>
      </c>
      <c r="F25" s="345" t="s">
        <v>26</v>
      </c>
      <c r="G25" s="149"/>
      <c r="H25" s="82"/>
      <c r="I25" s="61"/>
      <c r="J25" s="5"/>
    </row>
    <row r="26" spans="1:10" ht="30" customHeight="1">
      <c r="A26" s="16">
        <v>25</v>
      </c>
      <c r="B26" s="377" t="s">
        <v>26</v>
      </c>
      <c r="C26" s="345" t="s">
        <v>26</v>
      </c>
      <c r="D26" s="345" t="s">
        <v>26</v>
      </c>
      <c r="E26" s="345" t="s">
        <v>26</v>
      </c>
      <c r="F26" s="345" t="s">
        <v>26</v>
      </c>
      <c r="G26" s="149"/>
      <c r="H26" s="361" t="s">
        <v>27</v>
      </c>
      <c r="I26" s="80"/>
      <c r="J26" s="5"/>
    </row>
    <row r="27" spans="1:10" ht="30" customHeight="1">
      <c r="A27" s="16">
        <v>26</v>
      </c>
      <c r="B27" s="378" t="s">
        <v>28</v>
      </c>
      <c r="C27" s="345" t="s">
        <v>28</v>
      </c>
      <c r="D27" s="345" t="s">
        <v>28</v>
      </c>
      <c r="E27" s="345" t="s">
        <v>28</v>
      </c>
      <c r="F27" s="345" t="s">
        <v>28</v>
      </c>
      <c r="G27" s="81"/>
      <c r="H27" s="83"/>
      <c r="I27" s="80"/>
      <c r="J27" s="5"/>
    </row>
    <row r="28" spans="1:10" ht="30" customHeight="1">
      <c r="A28" s="16">
        <v>27</v>
      </c>
      <c r="B28" s="348" t="s">
        <v>29</v>
      </c>
      <c r="C28" s="338"/>
      <c r="D28" s="358"/>
      <c r="E28" s="358"/>
      <c r="F28" s="348" t="s">
        <v>30</v>
      </c>
      <c r="G28" s="84"/>
      <c r="H28" s="86"/>
      <c r="I28" s="61"/>
      <c r="J28" s="5"/>
    </row>
    <row r="29" spans="1:10" ht="30" customHeight="1">
      <c r="A29" s="16">
        <v>28</v>
      </c>
      <c r="B29" s="348" t="s">
        <v>29</v>
      </c>
      <c r="C29" s="338"/>
      <c r="D29" s="348" t="s">
        <v>31</v>
      </c>
      <c r="E29" s="348" t="s">
        <v>31</v>
      </c>
      <c r="F29" s="348" t="s">
        <v>30</v>
      </c>
      <c r="G29" s="363" t="s">
        <v>32</v>
      </c>
      <c r="H29" s="338"/>
      <c r="I29" s="61"/>
      <c r="J29" s="5"/>
    </row>
    <row r="30" spans="1:10" ht="30" customHeight="1">
      <c r="A30" s="16">
        <v>29</v>
      </c>
      <c r="B30" s="155"/>
      <c r="C30" s="384" t="s">
        <v>33</v>
      </c>
      <c r="D30" s="348" t="s">
        <v>34</v>
      </c>
      <c r="E30" s="348" t="s">
        <v>35</v>
      </c>
      <c r="F30" s="348" t="s">
        <v>36</v>
      </c>
      <c r="G30" s="363" t="s">
        <v>32</v>
      </c>
      <c r="H30" s="348" t="s">
        <v>37</v>
      </c>
      <c r="I30" s="80"/>
      <c r="J30" s="5"/>
    </row>
    <row r="31" spans="1:10" ht="30" customHeight="1">
      <c r="A31" s="16">
        <v>30</v>
      </c>
      <c r="B31" s="155"/>
      <c r="C31" s="347"/>
      <c r="D31" s="347"/>
      <c r="E31" s="360" t="s">
        <v>38</v>
      </c>
      <c r="F31" s="347"/>
      <c r="G31" s="347"/>
      <c r="H31" s="347"/>
      <c r="I31" s="61"/>
      <c r="J31" s="5"/>
    </row>
    <row r="32" spans="1:10" ht="30" customHeight="1">
      <c r="A32" s="5">
        <v>31</v>
      </c>
      <c r="B32" s="171"/>
      <c r="C32" s="171"/>
      <c r="D32" s="171"/>
      <c r="E32" s="448"/>
      <c r="F32" s="171"/>
      <c r="G32" s="90"/>
      <c r="H32" s="45"/>
      <c r="I32" s="61"/>
      <c r="J32" s="5"/>
    </row>
    <row r="33" spans="1:10" ht="30" customHeight="1">
      <c r="A33" s="449" t="s">
        <v>39</v>
      </c>
      <c r="B33" s="37" t="s">
        <v>1</v>
      </c>
      <c r="C33" s="37" t="s">
        <v>2</v>
      </c>
      <c r="D33" s="156" t="s">
        <v>3</v>
      </c>
      <c r="E33" s="157" t="s">
        <v>4</v>
      </c>
      <c r="F33" s="37" t="s">
        <v>5</v>
      </c>
      <c r="G33" s="37" t="s">
        <v>6</v>
      </c>
      <c r="H33" s="3" t="s">
        <v>7</v>
      </c>
      <c r="I33" s="39" t="s">
        <v>8</v>
      </c>
      <c r="J33" s="5"/>
    </row>
    <row r="34" spans="1:10" ht="30" customHeight="1">
      <c r="A34" s="7">
        <v>1</v>
      </c>
      <c r="B34" s="171"/>
      <c r="C34" s="171"/>
      <c r="D34" s="171"/>
      <c r="E34" s="171"/>
      <c r="F34" s="364" t="s">
        <v>40</v>
      </c>
      <c r="G34" s="64"/>
      <c r="H34" s="64"/>
      <c r="I34" s="43"/>
      <c r="J34" s="5"/>
    </row>
    <row r="35" spans="1:10" ht="30" customHeight="1">
      <c r="A35" s="7">
        <v>2</v>
      </c>
      <c r="B35" s="171"/>
      <c r="C35" s="171"/>
      <c r="D35" s="171"/>
      <c r="E35" s="171"/>
      <c r="F35" s="364" t="s">
        <v>41</v>
      </c>
      <c r="G35" s="54"/>
      <c r="H35" s="74"/>
      <c r="I35" s="64"/>
      <c r="J35" s="5"/>
    </row>
    <row r="36" spans="1:10" ht="30" customHeight="1">
      <c r="A36" s="7">
        <v>3</v>
      </c>
      <c r="B36" s="95"/>
      <c r="C36" s="91"/>
      <c r="D36" s="394" t="s">
        <v>42</v>
      </c>
      <c r="E36" s="394" t="s">
        <v>43</v>
      </c>
      <c r="F36" s="365" t="s">
        <v>41</v>
      </c>
      <c r="G36" s="74"/>
      <c r="H36" s="74"/>
      <c r="I36" s="64"/>
      <c r="J36" s="5"/>
    </row>
    <row r="37" spans="1:10" ht="30" customHeight="1">
      <c r="A37" s="7">
        <v>4</v>
      </c>
      <c r="B37" s="399"/>
      <c r="C37" s="381" t="s">
        <v>44</v>
      </c>
      <c r="D37" s="332"/>
      <c r="E37" s="332"/>
      <c r="F37" s="366" t="s">
        <v>41</v>
      </c>
      <c r="G37" s="332"/>
      <c r="H37" s="150"/>
      <c r="I37" s="64"/>
      <c r="J37" s="5"/>
    </row>
    <row r="38" spans="1:10" ht="30" customHeight="1">
      <c r="A38" s="7">
        <v>5</v>
      </c>
      <c r="B38" s="149"/>
      <c r="C38" s="390" t="s">
        <v>45</v>
      </c>
      <c r="D38" s="150"/>
      <c r="E38" s="150"/>
      <c r="F38" s="366" t="s">
        <v>46</v>
      </c>
      <c r="G38" s="150"/>
      <c r="H38" s="150"/>
      <c r="I38" s="64"/>
      <c r="J38" s="5"/>
    </row>
    <row r="39" spans="1:10" ht="30" customHeight="1">
      <c r="A39" s="7">
        <v>6</v>
      </c>
      <c r="B39" s="391" t="s">
        <v>47</v>
      </c>
      <c r="C39" s="149"/>
      <c r="D39" s="149"/>
      <c r="E39" s="149"/>
      <c r="F39" s="163"/>
      <c r="G39" s="149"/>
      <c r="H39" s="389" t="s">
        <v>48</v>
      </c>
      <c r="I39" s="43"/>
      <c r="J39" s="5"/>
    </row>
    <row r="40" spans="1:10" ht="30" customHeight="1">
      <c r="A40" s="7">
        <v>7</v>
      </c>
      <c r="B40" s="391" t="s">
        <v>47</v>
      </c>
      <c r="C40" s="150"/>
      <c r="D40" s="164" t="s">
        <v>49</v>
      </c>
      <c r="E40" s="150"/>
      <c r="F40" s="163"/>
      <c r="G40" s="149"/>
      <c r="H40" s="381" t="s">
        <v>48</v>
      </c>
      <c r="I40" s="64"/>
      <c r="J40" s="5"/>
    </row>
    <row r="41" spans="1:10" ht="30" customHeight="1">
      <c r="A41" s="7">
        <v>8</v>
      </c>
      <c r="B41" s="391" t="s">
        <v>47</v>
      </c>
      <c r="C41" s="164" t="s">
        <v>50</v>
      </c>
      <c r="D41" s="164" t="s">
        <v>51</v>
      </c>
      <c r="E41" s="164" t="s">
        <v>51</v>
      </c>
      <c r="F41" s="406" t="s">
        <v>52</v>
      </c>
      <c r="G41" s="43"/>
      <c r="H41" s="389" t="s">
        <v>53</v>
      </c>
      <c r="I41" s="64"/>
      <c r="J41" s="5"/>
    </row>
    <row r="42" spans="1:10" ht="30" customHeight="1">
      <c r="A42" s="7">
        <v>9</v>
      </c>
      <c r="B42" s="150"/>
      <c r="C42" s="150"/>
      <c r="D42" s="164" t="s">
        <v>51</v>
      </c>
      <c r="E42" s="164" t="s">
        <v>51</v>
      </c>
      <c r="F42" s="150"/>
      <c r="G42" s="64"/>
      <c r="H42" s="340"/>
      <c r="I42" s="64"/>
      <c r="J42" s="5"/>
    </row>
    <row r="43" spans="1:10" ht="30" customHeight="1">
      <c r="A43" s="7">
        <v>10</v>
      </c>
      <c r="B43" s="64"/>
      <c r="C43" s="43"/>
      <c r="D43" s="398" t="s">
        <v>54</v>
      </c>
      <c r="E43" s="402" t="s">
        <v>55</v>
      </c>
      <c r="F43" s="339"/>
      <c r="G43" s="339"/>
      <c r="H43" s="100"/>
      <c r="I43" s="64"/>
      <c r="J43" s="5"/>
    </row>
    <row r="44" spans="1:10" ht="30" customHeight="1">
      <c r="A44" s="7">
        <v>11</v>
      </c>
      <c r="B44" s="64"/>
      <c r="C44" s="43"/>
      <c r="D44" s="43"/>
      <c r="E44" s="43"/>
      <c r="F44" s="67"/>
      <c r="G44" s="64"/>
      <c r="H44" s="64"/>
      <c r="I44" s="64"/>
      <c r="J44" s="5"/>
    </row>
    <row r="45" spans="1:10" ht="30" customHeight="1">
      <c r="A45" s="7">
        <v>12</v>
      </c>
      <c r="B45" s="91"/>
      <c r="C45" s="43"/>
      <c r="D45" s="54"/>
      <c r="E45" s="371"/>
      <c r="F45" s="380" t="s">
        <v>56</v>
      </c>
      <c r="G45" s="64"/>
      <c r="H45" s="64"/>
      <c r="I45" s="43"/>
      <c r="J45" s="5"/>
    </row>
    <row r="46" spans="1:10" ht="30" customHeight="1">
      <c r="A46" s="7">
        <v>13</v>
      </c>
      <c r="B46" s="150"/>
      <c r="C46" s="64"/>
      <c r="D46" s="64"/>
      <c r="E46" s="64"/>
      <c r="F46" s="380" t="s">
        <v>57</v>
      </c>
      <c r="G46" s="64"/>
      <c r="H46" s="64"/>
      <c r="I46" s="54"/>
      <c r="J46" s="5"/>
    </row>
    <row r="47" spans="1:10" ht="30" customHeight="1">
      <c r="A47" s="7">
        <v>14</v>
      </c>
      <c r="B47" s="395"/>
      <c r="C47" s="395"/>
      <c r="D47" s="395"/>
      <c r="E47" s="395"/>
      <c r="F47" s="395"/>
      <c r="G47" s="102"/>
      <c r="H47" s="102"/>
      <c r="I47" s="64"/>
      <c r="J47" s="5"/>
    </row>
    <row r="48" spans="1:10" ht="30" customHeight="1">
      <c r="A48" s="16">
        <v>15</v>
      </c>
      <c r="B48" s="395"/>
      <c r="C48" s="405" t="s">
        <v>58</v>
      </c>
      <c r="D48" s="405" t="s">
        <v>59</v>
      </c>
      <c r="E48" s="405" t="s">
        <v>60</v>
      </c>
      <c r="F48" s="405" t="s">
        <v>60</v>
      </c>
      <c r="G48" s="103"/>
      <c r="H48" s="403" t="s">
        <v>61</v>
      </c>
      <c r="I48" s="43"/>
      <c r="J48" s="5"/>
    </row>
    <row r="49" spans="1:10" ht="30" customHeight="1">
      <c r="A49" s="16">
        <v>16</v>
      </c>
      <c r="B49" s="395"/>
      <c r="C49" s="405" t="s">
        <v>58</v>
      </c>
      <c r="D49" s="405" t="s">
        <v>59</v>
      </c>
      <c r="E49" s="405" t="s">
        <v>60</v>
      </c>
      <c r="F49" s="405" t="s">
        <v>60</v>
      </c>
      <c r="G49" s="49"/>
      <c r="H49" s="404" t="s">
        <v>61</v>
      </c>
      <c r="I49" s="64"/>
      <c r="J49" s="5"/>
    </row>
    <row r="50" spans="1:10" ht="30" customHeight="1">
      <c r="A50" s="16">
        <v>17</v>
      </c>
      <c r="B50" s="401"/>
      <c r="C50" s="395"/>
      <c r="D50" s="395"/>
      <c r="E50" s="413" t="s">
        <v>62</v>
      </c>
      <c r="F50" s="395"/>
      <c r="G50" s="43"/>
      <c r="H50" s="106"/>
      <c r="I50" s="64"/>
      <c r="J50" s="5"/>
    </row>
    <row r="51" spans="1:10" ht="30" customHeight="1">
      <c r="A51" s="16">
        <v>18</v>
      </c>
      <c r="B51" s="374"/>
      <c r="C51" s="108"/>
      <c r="D51" s="163"/>
      <c r="E51" s="412" t="s">
        <v>63</v>
      </c>
      <c r="F51" s="108"/>
      <c r="G51" s="165"/>
      <c r="H51" s="110"/>
      <c r="I51" s="108"/>
      <c r="J51" s="5" t="s">
        <v>64</v>
      </c>
    </row>
    <row r="52" spans="1:10" ht="30" customHeight="1">
      <c r="A52" s="7">
        <v>19</v>
      </c>
      <c r="B52" s="392"/>
      <c r="C52" s="91"/>
      <c r="D52" s="91"/>
      <c r="E52" s="412" t="s">
        <v>63</v>
      </c>
      <c r="F52" s="43"/>
      <c r="G52" s="170"/>
      <c r="H52" s="64"/>
      <c r="I52" s="64"/>
      <c r="J52" s="5"/>
    </row>
    <row r="53" spans="1:10" ht="39.950000000000003" customHeight="1">
      <c r="A53" s="7">
        <v>20</v>
      </c>
      <c r="B53" s="339"/>
      <c r="C53" s="339"/>
      <c r="D53" s="435" t="s">
        <v>65</v>
      </c>
      <c r="E53" s="339"/>
      <c r="F53" s="173" t="s">
        <v>66</v>
      </c>
      <c r="G53" s="411"/>
      <c r="H53" s="431" t="s">
        <v>67</v>
      </c>
      <c r="I53" s="64"/>
      <c r="J53" s="5" t="s">
        <v>64</v>
      </c>
    </row>
    <row r="54" spans="1:10" ht="39.950000000000003" customHeight="1">
      <c r="A54" s="7">
        <v>21</v>
      </c>
      <c r="B54" s="339"/>
      <c r="C54" s="339"/>
      <c r="D54" s="435" t="s">
        <v>65</v>
      </c>
      <c r="E54" s="339"/>
      <c r="F54" s="151"/>
      <c r="G54" s="411"/>
      <c r="H54" s="431" t="s">
        <v>68</v>
      </c>
      <c r="I54" s="61"/>
      <c r="J54" s="5"/>
    </row>
    <row r="55" spans="1:10" ht="39.950000000000003" customHeight="1">
      <c r="A55" s="7">
        <v>22</v>
      </c>
      <c r="B55" s="150"/>
      <c r="C55" s="150"/>
      <c r="D55" s="164" t="s">
        <v>51</v>
      </c>
      <c r="E55" s="164" t="s">
        <v>51</v>
      </c>
      <c r="F55" s="151"/>
      <c r="G55" s="170"/>
      <c r="H55" s="432" t="s">
        <v>69</v>
      </c>
      <c r="I55" s="64"/>
      <c r="J55" s="5"/>
    </row>
    <row r="56" spans="1:10" ht="39.950000000000003" customHeight="1">
      <c r="A56" s="7">
        <v>23</v>
      </c>
      <c r="B56" s="339"/>
      <c r="C56" s="164" t="s">
        <v>50</v>
      </c>
      <c r="D56" s="442"/>
      <c r="E56" s="372"/>
      <c r="F56" s="151"/>
      <c r="G56" s="81"/>
      <c r="H56" s="433" t="s">
        <v>61</v>
      </c>
      <c r="I56" s="64"/>
      <c r="J56" s="5"/>
    </row>
    <row r="57" spans="1:10" ht="39.950000000000003" customHeight="1">
      <c r="A57" s="7">
        <v>24</v>
      </c>
      <c r="B57" s="424" t="s">
        <v>70</v>
      </c>
      <c r="C57" s="445"/>
      <c r="D57" s="443" t="s">
        <v>71</v>
      </c>
      <c r="E57" s="373"/>
      <c r="F57" s="389" t="s">
        <v>72</v>
      </c>
      <c r="G57" s="81"/>
      <c r="H57" s="100"/>
      <c r="I57" s="112"/>
      <c r="J57" s="5"/>
    </row>
    <row r="58" spans="1:10" ht="39.950000000000003" customHeight="1">
      <c r="A58" s="7">
        <v>25</v>
      </c>
      <c r="B58" s="424" t="s">
        <v>73</v>
      </c>
      <c r="C58" s="84"/>
      <c r="D58" s="444" t="s">
        <v>74</v>
      </c>
      <c r="E58" s="81"/>
      <c r="F58" s="381" t="s">
        <v>75</v>
      </c>
      <c r="G58" s="64"/>
      <c r="H58" s="64"/>
      <c r="I58" s="64"/>
      <c r="J58" s="5"/>
    </row>
    <row r="59" spans="1:10" ht="39.950000000000003" customHeight="1">
      <c r="A59" s="11">
        <v>26</v>
      </c>
      <c r="B59" s="425" t="s">
        <v>73</v>
      </c>
      <c r="C59" s="407" t="s">
        <v>76</v>
      </c>
      <c r="D59" s="400" t="s">
        <v>77</v>
      </c>
      <c r="E59" s="393" t="s">
        <v>78</v>
      </c>
      <c r="F59" s="389" t="s">
        <v>75</v>
      </c>
      <c r="G59" s="54"/>
      <c r="H59" s="358"/>
      <c r="I59" s="434" t="s">
        <v>79</v>
      </c>
      <c r="J59" s="5"/>
    </row>
    <row r="60" spans="1:10" ht="39.950000000000003" customHeight="1">
      <c r="A60" s="15">
        <v>27</v>
      </c>
      <c r="B60" s="424" t="s">
        <v>73</v>
      </c>
      <c r="C60" s="81"/>
      <c r="D60" s="326"/>
      <c r="E60" s="327"/>
      <c r="F60" s="381" t="s">
        <v>75</v>
      </c>
      <c r="G60" s="326"/>
      <c r="H60" s="326"/>
      <c r="I60" s="43"/>
      <c r="J60" s="5"/>
    </row>
    <row r="61" spans="1:10" ht="39.950000000000003" customHeight="1">
      <c r="A61" s="7">
        <v>28</v>
      </c>
      <c r="B61" s="424" t="s">
        <v>80</v>
      </c>
      <c r="C61" s="166"/>
      <c r="D61" s="327"/>
      <c r="E61" s="327"/>
      <c r="F61" s="167"/>
      <c r="G61" s="327"/>
      <c r="H61" s="327"/>
      <c r="I61" s="64"/>
      <c r="J61" s="5"/>
    </row>
    <row r="62" spans="1:10" ht="30" customHeight="1">
      <c r="A62" s="40" t="s">
        <v>81</v>
      </c>
      <c r="B62" s="3" t="s">
        <v>1</v>
      </c>
      <c r="C62" s="3" t="s">
        <v>2</v>
      </c>
      <c r="D62" s="328" t="s">
        <v>3</v>
      </c>
      <c r="E62" s="329" t="s">
        <v>4</v>
      </c>
      <c r="F62" s="37" t="s">
        <v>5</v>
      </c>
      <c r="G62" s="3" t="s">
        <v>6</v>
      </c>
      <c r="H62" s="3" t="s">
        <v>7</v>
      </c>
      <c r="I62" s="4" t="s">
        <v>8</v>
      </c>
      <c r="J62" s="5"/>
    </row>
    <row r="63" spans="1:10" ht="30" customHeight="1">
      <c r="A63" s="7">
        <v>1</v>
      </c>
      <c r="B63" s="165"/>
      <c r="C63" s="165"/>
      <c r="D63" s="158" t="s">
        <v>82</v>
      </c>
      <c r="E63" s="167"/>
      <c r="F63" s="408" t="s">
        <v>83</v>
      </c>
      <c r="G63" s="97"/>
      <c r="H63" s="452" t="s">
        <v>84</v>
      </c>
      <c r="I63" s="43"/>
      <c r="J63" s="5"/>
    </row>
    <row r="64" spans="1:10" ht="30" customHeight="1">
      <c r="A64" s="7">
        <v>2</v>
      </c>
      <c r="B64" s="64"/>
      <c r="C64" s="74"/>
      <c r="D64" s="159" t="s">
        <v>85</v>
      </c>
      <c r="E64" s="173" t="s">
        <v>86</v>
      </c>
      <c r="F64" s="409" t="s">
        <v>87</v>
      </c>
      <c r="G64" s="64"/>
      <c r="H64" s="74"/>
      <c r="I64" s="64"/>
      <c r="J64" s="5"/>
    </row>
    <row r="65" spans="1:10" ht="30" customHeight="1">
      <c r="A65" s="7">
        <v>3</v>
      </c>
      <c r="B65" s="120"/>
      <c r="C65" s="120"/>
      <c r="D65" s="159" t="s">
        <v>85</v>
      </c>
      <c r="E65" s="345" t="s">
        <v>88</v>
      </c>
      <c r="F65" s="409" t="s">
        <v>87</v>
      </c>
      <c r="G65" s="64"/>
      <c r="H65" s="64"/>
      <c r="I65" s="44"/>
      <c r="J65" s="5"/>
    </row>
    <row r="66" spans="1:10" ht="30" customHeight="1">
      <c r="A66" s="7">
        <v>4</v>
      </c>
      <c r="B66" s="120"/>
      <c r="C66" s="120"/>
      <c r="D66" s="161" t="s">
        <v>89</v>
      </c>
      <c r="E66" s="346" t="s">
        <v>88</v>
      </c>
      <c r="F66" s="410" t="s">
        <v>90</v>
      </c>
      <c r="G66" s="451"/>
      <c r="H66" s="370" t="s">
        <v>91</v>
      </c>
      <c r="I66" s="93"/>
      <c r="J66" s="5"/>
    </row>
    <row r="67" spans="1:10" ht="30" customHeight="1">
      <c r="A67" s="7">
        <v>5</v>
      </c>
      <c r="B67" s="43"/>
      <c r="C67" s="121"/>
      <c r="D67" s="162" t="s">
        <v>92</v>
      </c>
      <c r="E67" s="163"/>
      <c r="F67" s="429"/>
      <c r="G67" s="430"/>
      <c r="H67" s="428"/>
      <c r="I67" s="123"/>
      <c r="J67" s="5"/>
    </row>
    <row r="68" spans="1:10" ht="30" customHeight="1">
      <c r="A68" s="7">
        <v>6</v>
      </c>
      <c r="B68" s="426" t="s">
        <v>93</v>
      </c>
      <c r="C68" s="427" t="s">
        <v>94</v>
      </c>
      <c r="D68" s="160" t="s">
        <v>95</v>
      </c>
      <c r="E68" s="458"/>
      <c r="F68" s="458"/>
      <c r="G68" s="134"/>
      <c r="H68" s="428"/>
      <c r="I68" s="43"/>
      <c r="J68" s="5"/>
    </row>
    <row r="69" spans="1:10" ht="30" customHeight="1">
      <c r="A69" s="7">
        <v>7</v>
      </c>
      <c r="B69" s="163"/>
      <c r="C69" s="163"/>
      <c r="D69" s="163"/>
      <c r="E69" s="163"/>
      <c r="F69" s="163"/>
      <c r="G69" s="127"/>
      <c r="H69" s="136"/>
      <c r="I69" s="64"/>
      <c r="J69" s="5"/>
    </row>
    <row r="70" spans="1:10" ht="30" customHeight="1">
      <c r="A70" s="7">
        <v>8</v>
      </c>
      <c r="B70" s="163"/>
      <c r="C70" s="163"/>
      <c r="D70" s="163"/>
      <c r="E70" s="163"/>
      <c r="F70" s="163"/>
      <c r="G70" s="64"/>
      <c r="H70" s="403" t="s">
        <v>61</v>
      </c>
      <c r="I70" s="64"/>
      <c r="J70" s="5"/>
    </row>
    <row r="71" spans="1:10" ht="30" customHeight="1">
      <c r="A71" s="7">
        <v>9</v>
      </c>
      <c r="B71" s="128"/>
      <c r="C71" s="73"/>
      <c r="D71" s="43"/>
      <c r="E71" s="128"/>
      <c r="F71" s="128"/>
      <c r="G71" s="64"/>
      <c r="H71" s="404" t="s">
        <v>61</v>
      </c>
      <c r="I71" s="64"/>
      <c r="J71" s="5"/>
    </row>
    <row r="72" spans="1:10" ht="30" customHeight="1">
      <c r="A72" s="7">
        <v>10</v>
      </c>
      <c r="B72" s="446"/>
      <c r="C72" s="154"/>
      <c r="D72" s="43"/>
      <c r="E72" s="386" t="s">
        <v>96</v>
      </c>
      <c r="F72" s="128"/>
      <c r="G72" s="129"/>
      <c r="H72" s="130"/>
      <c r="I72" s="64"/>
      <c r="J72" s="5"/>
    </row>
    <row r="73" spans="1:10" ht="30" customHeight="1">
      <c r="A73" s="7">
        <v>11</v>
      </c>
      <c r="B73" s="336" t="s">
        <v>97</v>
      </c>
      <c r="C73" s="150"/>
      <c r="D73" s="150"/>
      <c r="E73" s="386" t="s">
        <v>96</v>
      </c>
      <c r="F73" s="150"/>
      <c r="G73" s="150"/>
      <c r="H73" s="150"/>
      <c r="I73" s="64"/>
      <c r="J73" s="5"/>
    </row>
    <row r="74" spans="1:10" ht="30" customHeight="1">
      <c r="A74" s="7">
        <v>12</v>
      </c>
      <c r="B74" s="150"/>
      <c r="C74" s="150"/>
      <c r="D74" s="150"/>
      <c r="E74" s="150"/>
      <c r="F74" s="150"/>
      <c r="G74" s="170"/>
      <c r="H74" s="150"/>
      <c r="I74" s="43"/>
      <c r="J74" s="5"/>
    </row>
    <row r="75" spans="1:10" ht="30" customHeight="1">
      <c r="A75" s="7">
        <v>13</v>
      </c>
      <c r="B75" s="150"/>
      <c r="C75" s="478" t="s">
        <v>98</v>
      </c>
      <c r="D75" s="458"/>
      <c r="E75" s="342"/>
      <c r="F75" s="343"/>
      <c r="G75" s="91"/>
      <c r="H75" s="326"/>
      <c r="I75" s="43"/>
      <c r="J75" s="5"/>
    </row>
    <row r="76" spans="1:10" ht="30" customHeight="1">
      <c r="A76" s="7">
        <v>14</v>
      </c>
      <c r="B76" s="43"/>
      <c r="C76" s="88"/>
      <c r="D76" s="471"/>
      <c r="E76" s="396"/>
      <c r="F76" s="415"/>
      <c r="G76" s="416"/>
      <c r="H76" s="421" t="s">
        <v>99</v>
      </c>
      <c r="I76" s="43"/>
      <c r="J76" s="5"/>
    </row>
    <row r="77" spans="1:10" ht="30" customHeight="1">
      <c r="A77" s="7">
        <v>15</v>
      </c>
      <c r="B77" s="85"/>
      <c r="C77" s="85"/>
      <c r="D77" s="464"/>
      <c r="E77" s="417" t="s">
        <v>100</v>
      </c>
      <c r="F77" s="418" t="s">
        <v>100</v>
      </c>
      <c r="G77" s="419"/>
      <c r="H77" s="422" t="s">
        <v>101</v>
      </c>
      <c r="I77" s="43"/>
      <c r="J77" s="5"/>
    </row>
    <row r="78" spans="1:10" ht="30" customHeight="1">
      <c r="A78" s="7">
        <v>16</v>
      </c>
      <c r="B78" s="91"/>
      <c r="C78" s="91"/>
      <c r="D78" s="414" t="s">
        <v>102</v>
      </c>
      <c r="E78" s="417" t="s">
        <v>103</v>
      </c>
      <c r="F78" s="418" t="s">
        <v>104</v>
      </c>
      <c r="G78" s="420"/>
      <c r="H78" s="423" t="s">
        <v>105</v>
      </c>
      <c r="I78" s="64"/>
      <c r="J78" s="5"/>
    </row>
    <row r="79" spans="1:10" ht="30" customHeight="1">
      <c r="A79" s="7">
        <v>17</v>
      </c>
      <c r="B79" s="85"/>
      <c r="C79" s="85"/>
      <c r="D79" s="160" t="s">
        <v>106</v>
      </c>
      <c r="E79" s="85"/>
      <c r="F79" s="85"/>
      <c r="G79" s="81"/>
      <c r="H79" s="136"/>
      <c r="I79" s="113"/>
      <c r="J79" s="5"/>
    </row>
    <row r="80" spans="1:10" ht="30" customHeight="1">
      <c r="A80" s="7">
        <v>18</v>
      </c>
      <c r="B80" s="67"/>
      <c r="C80" s="91"/>
      <c r="D80" s="160" t="s">
        <v>106</v>
      </c>
      <c r="E80" s="436"/>
      <c r="F80" s="150"/>
      <c r="G80" s="64"/>
      <c r="H80" s="43"/>
      <c r="I80" s="43"/>
      <c r="J80" s="5"/>
    </row>
    <row r="81" spans="1:10" ht="30" customHeight="1">
      <c r="A81" s="7">
        <v>19</v>
      </c>
      <c r="B81" s="475" t="s">
        <v>107</v>
      </c>
      <c r="C81" s="475" t="s">
        <v>107</v>
      </c>
      <c r="D81" s="475" t="s">
        <v>107</v>
      </c>
      <c r="E81" s="475" t="s">
        <v>107</v>
      </c>
      <c r="F81" s="475" t="s">
        <v>107</v>
      </c>
      <c r="G81" s="475" t="s">
        <v>107</v>
      </c>
      <c r="H81" s="475" t="s">
        <v>107</v>
      </c>
      <c r="I81" s="43"/>
      <c r="J81" s="5"/>
    </row>
    <row r="82" spans="1:10" ht="30" customHeight="1">
      <c r="A82" s="7">
        <v>20</v>
      </c>
      <c r="B82" s="44"/>
      <c r="C82" s="64"/>
      <c r="D82" s="91"/>
      <c r="E82" s="43"/>
      <c r="F82" s="476" t="s">
        <v>108</v>
      </c>
      <c r="G82" s="473"/>
      <c r="H82" s="43"/>
      <c r="I82" s="43"/>
      <c r="J82" s="5"/>
    </row>
    <row r="83" spans="1:10" ht="30" customHeight="1">
      <c r="A83" s="16">
        <v>21</v>
      </c>
      <c r="B83" s="172" t="s">
        <v>109</v>
      </c>
      <c r="C83" s="172" t="s">
        <v>109</v>
      </c>
      <c r="D83" s="172" t="s">
        <v>109</v>
      </c>
      <c r="E83" s="172" t="s">
        <v>109</v>
      </c>
      <c r="F83" s="479" t="s">
        <v>110</v>
      </c>
      <c r="G83" s="447"/>
      <c r="H83" s="64"/>
      <c r="I83" s="81"/>
      <c r="J83" s="5"/>
    </row>
    <row r="84" spans="1:10" ht="30" customHeight="1">
      <c r="A84" s="16">
        <v>22</v>
      </c>
      <c r="B84" s="172" t="s">
        <v>109</v>
      </c>
      <c r="C84" s="172" t="s">
        <v>109</v>
      </c>
      <c r="D84" s="172" t="s">
        <v>109</v>
      </c>
      <c r="E84" s="172" t="s">
        <v>109</v>
      </c>
      <c r="F84" s="467" t="s">
        <v>111</v>
      </c>
      <c r="G84" s="447"/>
      <c r="H84" s="64"/>
      <c r="I84" s="43"/>
      <c r="J84" s="5"/>
    </row>
    <row r="85" spans="1:10" ht="30" customHeight="1">
      <c r="A85" s="16">
        <v>23</v>
      </c>
      <c r="B85" s="167"/>
      <c r="C85" s="167"/>
      <c r="D85" s="167"/>
      <c r="E85" s="167"/>
      <c r="F85" s="467" t="s">
        <v>111</v>
      </c>
      <c r="G85" s="64"/>
      <c r="H85" s="64"/>
      <c r="I85" s="64"/>
      <c r="J85" s="5"/>
    </row>
    <row r="86" spans="1:10" ht="30" customHeight="1">
      <c r="A86" s="16">
        <v>24</v>
      </c>
      <c r="B86" s="142"/>
      <c r="C86" s="143"/>
      <c r="D86" s="133"/>
      <c r="E86" s="76"/>
      <c r="F86" s="48"/>
      <c r="G86" s="64"/>
      <c r="H86" s="64"/>
      <c r="I86" s="64"/>
      <c r="J86" s="5"/>
    </row>
    <row r="87" spans="1:10" ht="30" customHeight="1">
      <c r="A87" s="7">
        <v>25</v>
      </c>
      <c r="B87" s="477" t="s">
        <v>12</v>
      </c>
      <c r="C87" s="43"/>
      <c r="D87" s="150"/>
      <c r="E87" s="150"/>
      <c r="F87" s="43"/>
      <c r="G87" s="64"/>
      <c r="H87" s="64"/>
      <c r="I87" s="64"/>
      <c r="J87" s="5"/>
    </row>
    <row r="88" spans="1:10" ht="30" customHeight="1">
      <c r="A88" s="7">
        <v>26</v>
      </c>
      <c r="B88" s="43"/>
      <c r="C88" s="455"/>
      <c r="D88" s="335"/>
      <c r="E88" s="335"/>
      <c r="F88" s="164" t="s">
        <v>112</v>
      </c>
      <c r="G88" s="164" t="s">
        <v>113</v>
      </c>
      <c r="H88" s="81"/>
      <c r="I88" s="64"/>
      <c r="J88" s="5"/>
    </row>
    <row r="89" spans="1:10" ht="30" customHeight="1">
      <c r="A89" s="7">
        <v>27</v>
      </c>
      <c r="B89" s="43"/>
      <c r="C89" s="341"/>
      <c r="D89" s="456"/>
      <c r="E89" s="457"/>
      <c r="F89" s="64"/>
      <c r="G89" s="64"/>
      <c r="H89" s="64"/>
      <c r="I89" s="64"/>
      <c r="J89" s="5"/>
    </row>
    <row r="90" spans="1:10" ht="30" customHeight="1">
      <c r="A90" s="7">
        <v>28</v>
      </c>
      <c r="B90" s="340"/>
      <c r="C90" s="340"/>
      <c r="D90" s="340"/>
      <c r="E90" s="340"/>
      <c r="F90" s="340"/>
      <c r="G90" s="64"/>
      <c r="H90" s="64"/>
      <c r="I90" s="144"/>
      <c r="J90" s="5"/>
    </row>
    <row r="91" spans="1:10" ht="30" customHeight="1">
      <c r="A91" s="7">
        <v>29</v>
      </c>
      <c r="B91" s="340"/>
      <c r="C91" s="340"/>
      <c r="D91" s="340"/>
      <c r="E91" s="340"/>
      <c r="F91" s="340"/>
      <c r="G91" s="64"/>
      <c r="H91" s="64"/>
      <c r="I91" s="144"/>
      <c r="J91" s="5"/>
    </row>
    <row r="92" spans="1:10" ht="30" customHeight="1">
      <c r="A92" s="7">
        <v>30</v>
      </c>
      <c r="B92" s="340"/>
      <c r="C92" s="340"/>
      <c r="D92" s="340"/>
      <c r="E92" s="340"/>
      <c r="F92" s="340"/>
      <c r="G92" s="64"/>
      <c r="H92" s="64"/>
      <c r="I92" s="144"/>
      <c r="J92" s="5"/>
    </row>
    <row r="93" spans="1:10" ht="30" customHeight="1">
      <c r="A93" s="7">
        <v>31</v>
      </c>
      <c r="B93" s="43"/>
      <c r="C93" s="499" t="s">
        <v>114</v>
      </c>
      <c r="D93" s="88"/>
      <c r="E93" s="64"/>
      <c r="F93" s="64"/>
      <c r="G93" s="64"/>
      <c r="H93" s="64"/>
      <c r="I93" s="144"/>
      <c r="J93" s="5"/>
    </row>
    <row r="94" spans="1:10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ht="15.75" thickBot="1">
      <c r="A95" s="256"/>
      <c r="B95" s="256"/>
      <c r="C95" s="256"/>
      <c r="D95" s="256"/>
      <c r="E95" s="256"/>
      <c r="F95" s="256"/>
      <c r="G95" s="256"/>
      <c r="H95" s="256"/>
      <c r="I95" s="256"/>
    </row>
    <row r="96" spans="1:10" ht="15.75" thickTop="1">
      <c r="F96" s="215"/>
    </row>
    <row r="97" spans="1:10">
      <c r="A97" s="174" t="s">
        <v>115</v>
      </c>
      <c r="B97" s="174"/>
      <c r="F97" s="216"/>
      <c r="G97" s="175"/>
    </row>
    <row r="98" spans="1:10">
      <c r="F98" s="217"/>
      <c r="G98" s="176" t="s">
        <v>116</v>
      </c>
      <c r="H98" s="175"/>
    </row>
    <row r="99" spans="1:10">
      <c r="A99" s="177"/>
      <c r="B99" s="178">
        <v>2019</v>
      </c>
      <c r="C99" s="179">
        <v>2022</v>
      </c>
      <c r="D99" s="180">
        <v>2023</v>
      </c>
      <c r="E99" s="181">
        <v>2024</v>
      </c>
      <c r="F99" s="218">
        <v>2025</v>
      </c>
      <c r="G99" s="175"/>
      <c r="H99" s="176" t="s">
        <v>117</v>
      </c>
    </row>
    <row r="100" spans="1:10">
      <c r="A100" t="s">
        <v>118</v>
      </c>
      <c r="B100" s="182">
        <v>2446.17</v>
      </c>
      <c r="C100" s="183">
        <v>90.91</v>
      </c>
      <c r="D100" s="184">
        <v>2049.59</v>
      </c>
      <c r="E100" s="185">
        <v>2145.4499999999998</v>
      </c>
      <c r="F100" s="219">
        <v>3207.85</v>
      </c>
    </row>
    <row r="101" spans="1:10">
      <c r="A101" t="s">
        <v>119</v>
      </c>
      <c r="B101" s="182">
        <v>0</v>
      </c>
      <c r="C101" s="183">
        <v>0</v>
      </c>
      <c r="D101" s="184">
        <v>70.25</v>
      </c>
      <c r="E101" s="185">
        <v>4325.32</v>
      </c>
      <c r="F101" s="219">
        <v>2334.71</v>
      </c>
      <c r="G101" s="186" t="s">
        <v>120</v>
      </c>
      <c r="H101" s="187">
        <v>129521.31</v>
      </c>
    </row>
    <row r="102" spans="1:10">
      <c r="A102" t="s">
        <v>121</v>
      </c>
      <c r="B102" s="182">
        <v>19265.73</v>
      </c>
      <c r="C102" s="183">
        <v>0</v>
      </c>
      <c r="D102" s="184">
        <v>8114.27</v>
      </c>
      <c r="E102" s="185">
        <v>10550.64</v>
      </c>
      <c r="F102" s="219">
        <v>4027.88</v>
      </c>
      <c r="G102" s="189" t="s">
        <v>122</v>
      </c>
      <c r="H102" s="190">
        <v>144149.44</v>
      </c>
      <c r="I102" s="188"/>
      <c r="J102" s="188"/>
    </row>
    <row r="103" spans="1:10">
      <c r="A103" t="s">
        <v>123</v>
      </c>
      <c r="B103" s="182">
        <v>4076.36</v>
      </c>
      <c r="C103" s="183">
        <v>854.55</v>
      </c>
      <c r="D103" s="184">
        <v>1914.55</v>
      </c>
      <c r="E103" s="185">
        <v>9380.64</v>
      </c>
      <c r="F103" s="219">
        <v>1575.45</v>
      </c>
      <c r="G103" s="191" t="s">
        <v>124</v>
      </c>
      <c r="H103" s="192">
        <v>136.07</v>
      </c>
      <c r="J103" s="188"/>
    </row>
    <row r="104" spans="1:10">
      <c r="A104" t="s">
        <v>125</v>
      </c>
      <c r="B104" s="182">
        <v>1771.59</v>
      </c>
      <c r="C104" s="183">
        <v>1353.64</v>
      </c>
      <c r="D104" s="184">
        <v>3050.2</v>
      </c>
      <c r="E104" s="185">
        <v>3381.82</v>
      </c>
      <c r="F104" s="219">
        <v>5945.64</v>
      </c>
      <c r="G104" s="186" t="s">
        <v>126</v>
      </c>
      <c r="H104" s="187">
        <v>72661.3</v>
      </c>
    </row>
    <row r="105" spans="1:10">
      <c r="A105" t="s">
        <v>127</v>
      </c>
      <c r="B105" s="182">
        <v>5622.53</v>
      </c>
      <c r="C105" s="183">
        <v>9.5500000000000007</v>
      </c>
      <c r="D105" s="184">
        <v>668.18</v>
      </c>
      <c r="E105" s="185">
        <v>1570</v>
      </c>
      <c r="F105" s="219">
        <v>2150.91</v>
      </c>
      <c r="G105" s="194" t="s">
        <v>128</v>
      </c>
      <c r="H105" s="195">
        <v>110391.46</v>
      </c>
      <c r="J105" s="193"/>
    </row>
    <row r="106" spans="1:10">
      <c r="A106" t="s">
        <v>129</v>
      </c>
      <c r="B106" s="182">
        <v>4817.22</v>
      </c>
      <c r="C106" s="183">
        <v>1163.99</v>
      </c>
      <c r="D106" s="184">
        <v>1371.34</v>
      </c>
      <c r="E106" s="185">
        <v>1643.18</v>
      </c>
      <c r="F106" s="219">
        <v>471.63</v>
      </c>
      <c r="G106" s="196" t="s">
        <v>130</v>
      </c>
      <c r="H106" s="197">
        <v>170923.77</v>
      </c>
    </row>
    <row r="107" spans="1:10">
      <c r="A107" t="s">
        <v>131</v>
      </c>
      <c r="B107" s="182">
        <v>22079.38</v>
      </c>
      <c r="C107" s="183">
        <v>11665.19</v>
      </c>
      <c r="D107" s="184">
        <v>20385.759999999998</v>
      </c>
      <c r="E107" s="185">
        <v>32475.88</v>
      </c>
      <c r="F107" s="219">
        <v>22198.76</v>
      </c>
      <c r="G107" s="210" t="s">
        <v>132</v>
      </c>
      <c r="H107" s="258">
        <v>152183.79</v>
      </c>
    </row>
    <row r="108" spans="1:10">
      <c r="A108" t="s">
        <v>133</v>
      </c>
      <c r="B108" s="182">
        <v>1561.14</v>
      </c>
      <c r="C108" s="183">
        <v>950</v>
      </c>
      <c r="D108" s="184">
        <v>1465.91</v>
      </c>
      <c r="E108" s="185">
        <v>1693.64</v>
      </c>
      <c r="F108" s="219">
        <v>1330.91</v>
      </c>
      <c r="I108" s="211" t="s">
        <v>134</v>
      </c>
      <c r="J108" s="199">
        <f>H107-H101</f>
        <v>22662.48000000001</v>
      </c>
    </row>
    <row r="109" spans="1:10">
      <c r="A109" t="s">
        <v>8</v>
      </c>
      <c r="B109" s="182">
        <v>1889.27</v>
      </c>
      <c r="C109" s="183">
        <v>1031.82</v>
      </c>
      <c r="D109" s="184">
        <v>947.95</v>
      </c>
      <c r="E109" s="185">
        <v>2834.09</v>
      </c>
      <c r="F109" s="219">
        <v>4249.4799999999996</v>
      </c>
      <c r="I109" s="211" t="s">
        <v>135</v>
      </c>
      <c r="J109" s="199">
        <f>H107-H102</f>
        <v>8034.3500000000058</v>
      </c>
    </row>
    <row r="110" spans="1:10" ht="15.75" thickBot="1">
      <c r="A110" s="177"/>
      <c r="C110" s="200"/>
      <c r="D110" s="201"/>
      <c r="E110" s="202"/>
      <c r="F110" s="220"/>
      <c r="I110" s="211" t="s">
        <v>136</v>
      </c>
      <c r="J110" s="195">
        <f>H107-H103</f>
        <v>152047.72</v>
      </c>
    </row>
    <row r="111" spans="1:10" ht="16.5" thickTop="1" thickBot="1">
      <c r="A111" s="209" t="s">
        <v>137</v>
      </c>
      <c r="B111" s="208">
        <v>63529.39</v>
      </c>
      <c r="C111" s="203">
        <f>SUM(C100:C109)</f>
        <v>17119.650000000001</v>
      </c>
      <c r="D111" s="204">
        <f>SUM(D100:D109)</f>
        <v>40038</v>
      </c>
      <c r="E111" s="205">
        <f>SUM(E100:E109)</f>
        <v>70000.659999999989</v>
      </c>
      <c r="F111" s="221">
        <f>SUM(F100:F109)</f>
        <v>47493.22</v>
      </c>
      <c r="I111" s="211" t="s">
        <v>138</v>
      </c>
      <c r="J111" s="195">
        <f>H107-H104</f>
        <v>79522.490000000005</v>
      </c>
    </row>
    <row r="112" spans="1:10" ht="15.75" thickTop="1">
      <c r="D112" s="206"/>
      <c r="F112" s="215"/>
      <c r="I112" s="211" t="s">
        <v>139</v>
      </c>
      <c r="J112" s="195">
        <f>H107-H105</f>
        <v>41792.33</v>
      </c>
    </row>
    <row r="113" spans="1:10" ht="15.75">
      <c r="C113" s="241" t="s">
        <v>134</v>
      </c>
      <c r="D113" s="207">
        <f>F111-B111</f>
        <v>-16036.169999999998</v>
      </c>
      <c r="F113" s="215"/>
      <c r="I113" s="212" t="s">
        <v>140</v>
      </c>
      <c r="J113" s="195">
        <f>H107-H106</f>
        <v>-18739.979999999981</v>
      </c>
    </row>
    <row r="114" spans="1:10" ht="15.75">
      <c r="C114" s="239" t="s">
        <v>138</v>
      </c>
      <c r="D114" s="379">
        <f>F111-C111</f>
        <v>30373.57</v>
      </c>
      <c r="F114" s="215"/>
    </row>
    <row r="115" spans="1:10" ht="15.75">
      <c r="C115" s="240" t="s">
        <v>139</v>
      </c>
      <c r="D115" s="385">
        <f>F111-D111</f>
        <v>7455.2200000000012</v>
      </c>
      <c r="F115" s="215"/>
    </row>
    <row r="116" spans="1:10" ht="15.75">
      <c r="C116" s="213" t="s">
        <v>140</v>
      </c>
      <c r="D116" s="463">
        <f>F111-E111</f>
        <v>-22507.439999999988</v>
      </c>
      <c r="F116" s="215"/>
    </row>
    <row r="117" spans="1:10">
      <c r="F117" s="215"/>
    </row>
    <row r="118" spans="1:10" ht="15.75" thickBot="1">
      <c r="A118" s="214"/>
      <c r="B118" s="214"/>
      <c r="C118" s="214"/>
      <c r="D118" s="214"/>
      <c r="E118" s="214"/>
      <c r="F118" s="222"/>
      <c r="G118" s="214"/>
      <c r="H118" s="214"/>
      <c r="I118" s="214"/>
      <c r="J118" s="214"/>
    </row>
    <row r="121" spans="1:10" ht="15.75" thickBot="1">
      <c r="A121" s="223"/>
      <c r="B121" s="223"/>
      <c r="C121" s="223"/>
      <c r="D121" s="223"/>
      <c r="E121" s="223"/>
      <c r="F121" s="223"/>
      <c r="G121" s="223"/>
      <c r="H121" s="223"/>
      <c r="I121" s="223"/>
      <c r="J121" s="223"/>
    </row>
    <row r="122" spans="1:10" ht="15.75" thickTop="1">
      <c r="F122" s="224"/>
      <c r="G122" s="225"/>
    </row>
    <row r="123" spans="1:10">
      <c r="G123" s="226"/>
    </row>
    <row r="124" spans="1:10">
      <c r="A124" s="174" t="s">
        <v>141</v>
      </c>
      <c r="B124" s="174"/>
      <c r="G124" s="226"/>
    </row>
    <row r="125" spans="1:10">
      <c r="G125" s="227" t="s">
        <v>116</v>
      </c>
      <c r="H125" s="228"/>
    </row>
    <row r="126" spans="1:10">
      <c r="A126" s="177"/>
      <c r="B126" s="178">
        <v>2019</v>
      </c>
      <c r="C126" s="179">
        <v>2022</v>
      </c>
      <c r="D126" s="180">
        <v>2023</v>
      </c>
      <c r="E126" s="181">
        <v>2024</v>
      </c>
      <c r="F126" s="181">
        <v>2025</v>
      </c>
      <c r="G126" s="228"/>
      <c r="H126" s="229" t="s">
        <v>142</v>
      </c>
    </row>
    <row r="127" spans="1:10">
      <c r="A127" t="s">
        <v>118</v>
      </c>
      <c r="B127" s="182">
        <v>4438.0200000000004</v>
      </c>
      <c r="C127" s="183">
        <v>764.46</v>
      </c>
      <c r="D127" s="184">
        <v>4534.71</v>
      </c>
      <c r="E127" s="185">
        <v>6075.62</v>
      </c>
      <c r="F127" s="185">
        <v>5207.8500000000004</v>
      </c>
    </row>
    <row r="128" spans="1:10">
      <c r="A128" t="s">
        <v>119</v>
      </c>
      <c r="B128" s="182">
        <v>0</v>
      </c>
      <c r="C128" s="183">
        <v>0</v>
      </c>
      <c r="D128" s="184">
        <v>409.09</v>
      </c>
      <c r="E128" s="185">
        <v>330.58</v>
      </c>
      <c r="F128" s="185">
        <v>694.21</v>
      </c>
      <c r="G128" s="186" t="s">
        <v>120</v>
      </c>
      <c r="H128" s="187">
        <v>173407.25</v>
      </c>
    </row>
    <row r="129" spans="1:10">
      <c r="A129" t="s">
        <v>121</v>
      </c>
      <c r="B129" s="182">
        <v>18353.64</v>
      </c>
      <c r="C129" s="183">
        <v>0</v>
      </c>
      <c r="D129" s="184">
        <v>10614.79</v>
      </c>
      <c r="E129" s="185">
        <v>13223.43</v>
      </c>
      <c r="F129" s="185">
        <v>270.73</v>
      </c>
      <c r="G129" s="189" t="s">
        <v>122</v>
      </c>
      <c r="H129" s="190">
        <v>150289.41</v>
      </c>
      <c r="I129" s="188"/>
      <c r="J129" s="188"/>
    </row>
    <row r="130" spans="1:10">
      <c r="A130" t="s">
        <v>123</v>
      </c>
      <c r="B130" s="182">
        <v>0</v>
      </c>
      <c r="C130" s="183">
        <v>480</v>
      </c>
      <c r="D130" s="184">
        <v>4342.7299999999996</v>
      </c>
      <c r="E130" s="185">
        <v>8880.91</v>
      </c>
      <c r="F130" s="185">
        <v>2350.8200000000002</v>
      </c>
      <c r="G130" s="230" t="s">
        <v>124</v>
      </c>
      <c r="H130" s="192">
        <v>0</v>
      </c>
      <c r="I130" s="188"/>
      <c r="J130" s="188"/>
    </row>
    <row r="131" spans="1:10">
      <c r="A131" t="s">
        <v>125</v>
      </c>
      <c r="B131" s="182">
        <v>8560.91</v>
      </c>
      <c r="C131" s="183">
        <v>5102.8</v>
      </c>
      <c r="D131" s="184">
        <v>952.25</v>
      </c>
      <c r="E131" s="185">
        <v>1831.82</v>
      </c>
      <c r="F131" s="185">
        <v>8754.9599999999991</v>
      </c>
      <c r="G131" s="186" t="s">
        <v>126</v>
      </c>
      <c r="H131" s="187">
        <v>125715.38</v>
      </c>
    </row>
    <row r="132" spans="1:10">
      <c r="A132" t="s">
        <v>127</v>
      </c>
      <c r="B132" s="182">
        <v>1546.36</v>
      </c>
      <c r="C132" s="183">
        <v>140.91</v>
      </c>
      <c r="D132" s="184">
        <v>412.5</v>
      </c>
      <c r="E132" s="185">
        <v>2142.73</v>
      </c>
      <c r="F132" s="185">
        <v>719.27</v>
      </c>
      <c r="G132" s="194" t="s">
        <v>128</v>
      </c>
      <c r="H132" s="195">
        <v>129074.76</v>
      </c>
      <c r="I132" s="231"/>
      <c r="J132" s="231"/>
    </row>
    <row r="133" spans="1:10">
      <c r="A133" t="s">
        <v>129</v>
      </c>
      <c r="B133" s="182">
        <v>5378.93</v>
      </c>
      <c r="C133" s="183">
        <v>1857.59</v>
      </c>
      <c r="D133" s="184">
        <v>1532.1</v>
      </c>
      <c r="E133" s="185">
        <v>2541.31</v>
      </c>
      <c r="F133" s="185">
        <v>713.42</v>
      </c>
      <c r="G133" s="196" t="s">
        <v>130</v>
      </c>
      <c r="H133" s="197">
        <v>177885.87</v>
      </c>
    </row>
    <row r="134" spans="1:10">
      <c r="A134" t="s">
        <v>131</v>
      </c>
      <c r="B134" s="182">
        <v>30412.04</v>
      </c>
      <c r="C134" s="183">
        <v>19818.47</v>
      </c>
      <c r="D134" s="184">
        <v>29132.94</v>
      </c>
      <c r="E134" s="185">
        <v>37914.67</v>
      </c>
      <c r="F134" s="185">
        <v>33138.9</v>
      </c>
      <c r="G134" s="210" t="s">
        <v>132</v>
      </c>
      <c r="H134" s="258">
        <v>232363.7</v>
      </c>
      <c r="I134" s="193"/>
      <c r="J134" s="232"/>
    </row>
    <row r="135" spans="1:10">
      <c r="A135" t="s">
        <v>133</v>
      </c>
      <c r="B135" s="182">
        <v>1770.45</v>
      </c>
      <c r="C135" s="183">
        <v>1117.27</v>
      </c>
      <c r="D135" s="184">
        <v>1511.36</v>
      </c>
      <c r="E135" s="185">
        <v>2041.5</v>
      </c>
      <c r="F135" s="185">
        <v>1789.09</v>
      </c>
      <c r="I135" s="198" t="s">
        <v>134</v>
      </c>
      <c r="J135" s="233">
        <f>H134-H128</f>
        <v>58956.450000000012</v>
      </c>
    </row>
    <row r="136" spans="1:10">
      <c r="A136" t="s">
        <v>8</v>
      </c>
      <c r="B136" s="182">
        <v>2624.27</v>
      </c>
      <c r="C136" s="183">
        <v>1100.18</v>
      </c>
      <c r="D136" s="184">
        <v>1766.32</v>
      </c>
      <c r="E136" s="185">
        <v>1642.98</v>
      </c>
      <c r="F136" s="185">
        <v>5638.71</v>
      </c>
      <c r="I136" s="198" t="s">
        <v>135</v>
      </c>
      <c r="J136" s="233">
        <f>H134-H129</f>
        <v>82074.290000000008</v>
      </c>
    </row>
    <row r="137" spans="1:10" ht="15.75" thickBot="1">
      <c r="A137" s="177"/>
      <c r="C137" s="183"/>
      <c r="D137" s="184"/>
      <c r="E137" s="202"/>
      <c r="F137" s="202"/>
      <c r="I137" s="198" t="s">
        <v>136</v>
      </c>
      <c r="J137" s="234">
        <f>H134-H130</f>
        <v>232363.7</v>
      </c>
    </row>
    <row r="138" spans="1:10" ht="16.5" thickTop="1" thickBot="1">
      <c r="A138" s="209" t="s">
        <v>137</v>
      </c>
      <c r="B138" s="208">
        <v>73084.62</v>
      </c>
      <c r="C138" s="203">
        <f>SUM(C127:C136)</f>
        <v>30381.680000000004</v>
      </c>
      <c r="D138" s="204">
        <f>SUM(D127:D136)</f>
        <v>55208.79</v>
      </c>
      <c r="E138" s="205">
        <f>SUM(E127:E136)</f>
        <v>76625.55</v>
      </c>
      <c r="F138" s="205">
        <f>SUM(F127:F136)</f>
        <v>59277.96</v>
      </c>
      <c r="I138" s="198" t="s">
        <v>138</v>
      </c>
      <c r="J138" s="234">
        <f>H134-H131</f>
        <v>106648.32000000001</v>
      </c>
    </row>
    <row r="139" spans="1:10" ht="15.75" thickTop="1">
      <c r="D139" s="206"/>
      <c r="G139" s="226"/>
      <c r="I139" s="198" t="s">
        <v>139</v>
      </c>
      <c r="J139" s="235">
        <f>H134-H132</f>
        <v>103288.94000000002</v>
      </c>
    </row>
    <row r="140" spans="1:10">
      <c r="C140" s="238" t="s">
        <v>134</v>
      </c>
      <c r="D140" s="236">
        <f>F138-B138</f>
        <v>-13806.659999999996</v>
      </c>
      <c r="G140" s="226"/>
      <c r="I140" s="212" t="s">
        <v>140</v>
      </c>
      <c r="J140" s="493">
        <f>H134-H133</f>
        <v>54477.830000000016</v>
      </c>
    </row>
    <row r="141" spans="1:10">
      <c r="C141" s="239" t="s">
        <v>138</v>
      </c>
      <c r="D141" s="454">
        <f>F138-C138</f>
        <v>28896.279999999995</v>
      </c>
      <c r="G141" s="226"/>
    </row>
    <row r="142" spans="1:10">
      <c r="C142" s="240" t="s">
        <v>139</v>
      </c>
      <c r="D142" s="453">
        <f>F138-D138</f>
        <v>4069.1699999999983</v>
      </c>
      <c r="G142" s="226"/>
    </row>
    <row r="143" spans="1:10">
      <c r="C143" s="213" t="s">
        <v>140</v>
      </c>
      <c r="D143" s="462">
        <f>F138-E138</f>
        <v>-17347.590000000004</v>
      </c>
      <c r="G143" s="226"/>
    </row>
    <row r="144" spans="1:10" ht="15.75" thickBot="1">
      <c r="A144" s="223"/>
      <c r="B144" s="223"/>
      <c r="C144" s="223"/>
      <c r="D144" s="223"/>
      <c r="E144" s="223"/>
      <c r="F144" s="223"/>
      <c r="G144" s="237"/>
      <c r="H144" s="223"/>
      <c r="I144" s="223"/>
      <c r="J144" s="223"/>
    </row>
    <row r="145" spans="1:10" ht="15.75" thickTop="1">
      <c r="G145" s="225"/>
    </row>
    <row r="146" spans="1:10">
      <c r="G146" s="251"/>
    </row>
    <row r="147" spans="1:10">
      <c r="G147" s="226"/>
    </row>
    <row r="148" spans="1:10">
      <c r="G148" s="242" t="s">
        <v>116</v>
      </c>
      <c r="H148" s="243"/>
    </row>
    <row r="149" spans="1:10">
      <c r="A149" s="174" t="s">
        <v>143</v>
      </c>
      <c r="B149" s="174"/>
      <c r="G149" s="244"/>
      <c r="H149" s="245" t="s">
        <v>144</v>
      </c>
    </row>
    <row r="150" spans="1:10">
      <c r="G150" s="226"/>
    </row>
    <row r="151" spans="1:10">
      <c r="A151" s="177"/>
      <c r="B151" s="178">
        <v>2019</v>
      </c>
      <c r="C151" s="179">
        <v>2022</v>
      </c>
      <c r="D151" s="180">
        <v>2023</v>
      </c>
      <c r="E151" s="181">
        <v>2024</v>
      </c>
      <c r="F151" s="181">
        <v>2025</v>
      </c>
      <c r="G151" s="246" t="s">
        <v>120</v>
      </c>
      <c r="H151" s="187">
        <v>169734.6</v>
      </c>
    </row>
    <row r="152" spans="1:10">
      <c r="A152" t="s">
        <v>118</v>
      </c>
      <c r="B152" s="182">
        <v>5125.62</v>
      </c>
      <c r="C152" s="183">
        <v>3763.64</v>
      </c>
      <c r="D152" s="184">
        <v>2686.36</v>
      </c>
      <c r="E152" s="185">
        <v>3955.58</v>
      </c>
      <c r="F152" s="185">
        <v>2707.64</v>
      </c>
      <c r="G152" s="247" t="s">
        <v>122</v>
      </c>
      <c r="H152" s="190">
        <v>36562.15</v>
      </c>
      <c r="I152" s="188"/>
    </row>
    <row r="153" spans="1:10">
      <c r="A153" t="s">
        <v>119</v>
      </c>
      <c r="B153" s="182">
        <v>99.17</v>
      </c>
      <c r="C153" s="183">
        <v>181.82</v>
      </c>
      <c r="D153" s="184">
        <v>285.12</v>
      </c>
      <c r="E153" s="185">
        <v>570.25</v>
      </c>
      <c r="F153" s="185">
        <v>258.47000000000003</v>
      </c>
      <c r="G153" s="248" t="s">
        <v>124</v>
      </c>
      <c r="H153" s="192">
        <v>0</v>
      </c>
      <c r="I153" s="188"/>
    </row>
    <row r="154" spans="1:10">
      <c r="A154" t="s">
        <v>121</v>
      </c>
      <c r="B154" s="182">
        <v>21437.279999999999</v>
      </c>
      <c r="C154" s="183">
        <v>11895.91</v>
      </c>
      <c r="D154" s="184">
        <v>11896.18</v>
      </c>
      <c r="E154" s="185">
        <v>18730.39</v>
      </c>
      <c r="F154" s="185">
        <v>727.73</v>
      </c>
      <c r="G154" s="246" t="s">
        <v>126</v>
      </c>
      <c r="H154" s="187">
        <v>159111.65</v>
      </c>
    </row>
    <row r="155" spans="1:10">
      <c r="A155" t="s">
        <v>123</v>
      </c>
      <c r="B155" s="182">
        <v>3181.18</v>
      </c>
      <c r="C155" s="183">
        <v>354.55</v>
      </c>
      <c r="D155" s="184">
        <v>1399.82</v>
      </c>
      <c r="E155" s="185">
        <v>7100.68</v>
      </c>
      <c r="F155" s="185">
        <v>412.27</v>
      </c>
      <c r="G155" s="249" t="s">
        <v>128</v>
      </c>
      <c r="H155" s="195">
        <v>155344.29</v>
      </c>
      <c r="I155" s="193"/>
      <c r="J155" s="193"/>
    </row>
    <row r="156" spans="1:10">
      <c r="A156" t="s">
        <v>125</v>
      </c>
      <c r="B156" s="182">
        <v>5964.78</v>
      </c>
      <c r="C156" s="183">
        <v>1160.4100000000001</v>
      </c>
      <c r="D156" s="184">
        <v>0</v>
      </c>
      <c r="E156" s="185">
        <v>694.55</v>
      </c>
      <c r="F156" s="185">
        <v>14115.82</v>
      </c>
      <c r="G156" s="252" t="s">
        <v>130</v>
      </c>
      <c r="H156" s="197">
        <v>190421.29</v>
      </c>
    </row>
    <row r="157" spans="1:10">
      <c r="A157" t="s">
        <v>127</v>
      </c>
      <c r="B157" s="182">
        <v>753.75</v>
      </c>
      <c r="C157" s="183">
        <v>0</v>
      </c>
      <c r="D157" s="184">
        <v>636.36</v>
      </c>
      <c r="E157" s="185">
        <v>977.95</v>
      </c>
      <c r="F157" s="185">
        <v>184.09</v>
      </c>
      <c r="G157" s="253" t="s">
        <v>132</v>
      </c>
      <c r="H157" s="258">
        <v>239657.39</v>
      </c>
      <c r="I157" s="193"/>
      <c r="J157" s="250"/>
    </row>
    <row r="158" spans="1:10">
      <c r="A158" t="s">
        <v>129</v>
      </c>
      <c r="B158" s="182">
        <v>3551.03</v>
      </c>
      <c r="C158" s="183">
        <v>1667.2</v>
      </c>
      <c r="D158" s="184">
        <v>1579.3</v>
      </c>
      <c r="E158" s="185">
        <v>1478.92</v>
      </c>
      <c r="F158" s="185">
        <v>793.11</v>
      </c>
      <c r="G158" s="226"/>
      <c r="I158" s="198" t="s">
        <v>134</v>
      </c>
      <c r="J158" s="233">
        <f>H157-H151</f>
        <v>69922.790000000008</v>
      </c>
    </row>
    <row r="159" spans="1:10">
      <c r="A159" t="s">
        <v>131</v>
      </c>
      <c r="B159" s="182">
        <v>32361.91</v>
      </c>
      <c r="C159" s="183">
        <v>23782.55</v>
      </c>
      <c r="D159" s="184">
        <v>35392.239999999998</v>
      </c>
      <c r="E159" s="185">
        <v>30771.83</v>
      </c>
      <c r="F159" s="185">
        <v>33823.54</v>
      </c>
      <c r="G159" s="226"/>
      <c r="I159" s="198" t="s">
        <v>135</v>
      </c>
      <c r="J159" s="234">
        <f>H157-H152</f>
        <v>203095.24000000002</v>
      </c>
    </row>
    <row r="160" spans="1:10">
      <c r="A160" t="s">
        <v>133</v>
      </c>
      <c r="B160" s="182">
        <v>1797.73</v>
      </c>
      <c r="C160" s="183">
        <v>1579.55</v>
      </c>
      <c r="D160" s="184">
        <v>1722.55</v>
      </c>
      <c r="E160" s="185">
        <v>1665.73</v>
      </c>
      <c r="F160" s="185">
        <v>1962.96</v>
      </c>
      <c r="G160" s="226"/>
      <c r="I160" s="198" t="s">
        <v>136</v>
      </c>
      <c r="J160" s="234">
        <f>H157-H153</f>
        <v>239657.39</v>
      </c>
    </row>
    <row r="161" spans="1:10">
      <c r="A161" t="s">
        <v>8</v>
      </c>
      <c r="B161" s="182">
        <v>4292.91</v>
      </c>
      <c r="C161" s="183">
        <v>1254.55</v>
      </c>
      <c r="D161" s="184">
        <v>1157.06</v>
      </c>
      <c r="E161" s="185">
        <v>1809.71</v>
      </c>
      <c r="F161" s="185">
        <v>6133.04</v>
      </c>
      <c r="G161" s="226"/>
      <c r="I161" s="198" t="s">
        <v>138</v>
      </c>
      <c r="J161" s="233">
        <f>H157-H154</f>
        <v>80545.74000000002</v>
      </c>
    </row>
    <row r="162" spans="1:10" ht="15.75" thickBot="1">
      <c r="A162" s="177"/>
      <c r="C162" s="200"/>
      <c r="D162" s="201"/>
      <c r="E162" s="202"/>
      <c r="F162" s="202"/>
      <c r="G162" s="226"/>
      <c r="I162" s="198" t="s">
        <v>139</v>
      </c>
      <c r="J162" s="235">
        <f>H157-H155</f>
        <v>84313.1</v>
      </c>
    </row>
    <row r="163" spans="1:10" ht="16.5" thickTop="1" thickBot="1">
      <c r="A163" s="209" t="s">
        <v>137</v>
      </c>
      <c r="B163" s="208">
        <v>78565.36</v>
      </c>
      <c r="C163" s="203">
        <f>SUM(C152:C161)</f>
        <v>45640.180000000008</v>
      </c>
      <c r="D163" s="204">
        <f>SUM(D152:D161)</f>
        <v>56754.99</v>
      </c>
      <c r="E163" s="205">
        <f>SUM(E152:E161)</f>
        <v>67755.590000000011</v>
      </c>
      <c r="F163" s="205">
        <f>SUM(F152:F161)</f>
        <v>61118.67</v>
      </c>
      <c r="G163" s="226"/>
      <c r="I163" s="212" t="s">
        <v>140</v>
      </c>
      <c r="J163" s="493">
        <f>H157-H156</f>
        <v>49236.100000000006</v>
      </c>
    </row>
    <row r="164" spans="1:10" ht="15.75" thickTop="1">
      <c r="D164" s="206"/>
      <c r="G164" s="226"/>
    </row>
    <row r="165" spans="1:10">
      <c r="C165" s="238" t="s">
        <v>134</v>
      </c>
      <c r="D165" s="236">
        <f>F163-B163</f>
        <v>-17446.690000000002</v>
      </c>
      <c r="E165" s="254"/>
      <c r="G165" s="226"/>
    </row>
    <row r="166" spans="1:10">
      <c r="C166" s="239" t="s">
        <v>138</v>
      </c>
      <c r="D166" s="454">
        <f>F163-C163</f>
        <v>15478.489999999991</v>
      </c>
      <c r="G166" s="226"/>
    </row>
    <row r="167" spans="1:10">
      <c r="C167" s="240" t="s">
        <v>139</v>
      </c>
      <c r="D167" s="255">
        <f>F163-D163</f>
        <v>4363.68</v>
      </c>
      <c r="G167" s="226"/>
    </row>
    <row r="168" spans="1:10">
      <c r="C168" s="213" t="s">
        <v>140</v>
      </c>
      <c r="D168" s="462">
        <f>F163-E163</f>
        <v>-6636.9200000000128</v>
      </c>
      <c r="G168" s="251"/>
    </row>
    <row r="169" spans="1:10">
      <c r="G169" s="251"/>
    </row>
    <row r="170" spans="1:10" ht="15.75" thickBot="1">
      <c r="A170" s="256"/>
      <c r="B170" s="256"/>
      <c r="C170" s="256"/>
      <c r="D170" s="256"/>
      <c r="E170" s="256"/>
      <c r="F170" s="256"/>
      <c r="G170" s="257"/>
      <c r="H170" s="256"/>
      <c r="I170" s="256"/>
      <c r="J170" s="256"/>
    </row>
    <row r="171" spans="1:10" ht="15.75" thickTop="1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3C58A-B8BA-4663-9715-D46FBC2A2278}">
  <dimension ref="A1:M167"/>
  <sheetViews>
    <sheetView topLeftCell="A87" zoomScale="91" zoomScaleNormal="91" workbookViewId="0">
      <selection activeCell="H145" sqref="H145"/>
    </sheetView>
  </sheetViews>
  <sheetFormatPr defaultColWidth="9.140625" defaultRowHeight="15"/>
  <cols>
    <col min="1" max="1" width="13.28515625" customWidth="1"/>
    <col min="2" max="2" width="30.28515625" customWidth="1"/>
    <col min="3" max="3" width="36.42578125" customWidth="1"/>
    <col min="4" max="4" width="40.85546875" customWidth="1"/>
    <col min="5" max="5" width="38.28515625" customWidth="1"/>
    <col min="6" max="6" width="51.28515625" customWidth="1"/>
    <col min="7" max="7" width="37.42578125" customWidth="1"/>
    <col min="8" max="8" width="42.5703125" customWidth="1"/>
    <col min="9" max="9" width="31.85546875" customWidth="1"/>
    <col min="11" max="11" width="19.140625" customWidth="1"/>
  </cols>
  <sheetData>
    <row r="1" spans="1:9" ht="30" customHeight="1">
      <c r="A1" s="1" t="s">
        <v>145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 spans="1:9" ht="30" customHeight="1">
      <c r="A2" s="6">
        <v>1</v>
      </c>
      <c r="B2" s="7" t="s">
        <v>9</v>
      </c>
      <c r="C2" s="8" t="s">
        <v>9</v>
      </c>
      <c r="D2" s="9" t="s">
        <v>9</v>
      </c>
      <c r="E2" s="8" t="s">
        <v>9</v>
      </c>
      <c r="F2" s="485" t="s">
        <v>146</v>
      </c>
      <c r="G2" s="335"/>
      <c r="H2" s="396"/>
      <c r="I2" s="11" t="s">
        <v>9</v>
      </c>
    </row>
    <row r="3" spans="1:9" ht="30" customHeight="1">
      <c r="A3" s="12">
        <v>2</v>
      </c>
      <c r="B3" s="7" t="s">
        <v>9</v>
      </c>
      <c r="C3" s="8" t="s">
        <v>9</v>
      </c>
      <c r="D3" s="9" t="s">
        <v>9</v>
      </c>
      <c r="E3" s="8" t="s">
        <v>9</v>
      </c>
      <c r="F3" s="150"/>
      <c r="G3" s="352"/>
      <c r="H3" s="397"/>
      <c r="I3" s="15" t="s">
        <v>9</v>
      </c>
    </row>
    <row r="4" spans="1:9" ht="30" customHeight="1">
      <c r="A4" s="16">
        <v>3</v>
      </c>
      <c r="B4" s="519" t="s">
        <v>147</v>
      </c>
      <c r="C4" s="8" t="s">
        <v>9</v>
      </c>
      <c r="D4" s="9" t="s">
        <v>9</v>
      </c>
      <c r="E4" s="8" t="s">
        <v>9</v>
      </c>
      <c r="F4" s="150"/>
      <c r="G4" s="150"/>
      <c r="H4" s="342"/>
      <c r="I4" s="7" t="s">
        <v>9</v>
      </c>
    </row>
    <row r="5" spans="1:9" ht="30" customHeight="1">
      <c r="A5" s="16">
        <v>4</v>
      </c>
      <c r="B5" s="7" t="s">
        <v>9</v>
      </c>
      <c r="C5" s="19" t="s">
        <v>9</v>
      </c>
      <c r="D5" s="9" t="s">
        <v>9</v>
      </c>
      <c r="E5" s="8" t="s">
        <v>9</v>
      </c>
      <c r="F5" s="9" t="s">
        <v>9</v>
      </c>
      <c r="G5" s="17" t="s">
        <v>9</v>
      </c>
      <c r="H5" s="20" t="s">
        <v>9</v>
      </c>
      <c r="I5" s="7" t="s">
        <v>9</v>
      </c>
    </row>
    <row r="6" spans="1:9" ht="30" customHeight="1">
      <c r="A6" s="16">
        <v>5</v>
      </c>
      <c r="B6" s="11" t="s">
        <v>9</v>
      </c>
      <c r="C6" s="8" t="s">
        <v>9</v>
      </c>
      <c r="D6" s="459" t="s">
        <v>148</v>
      </c>
      <c r="E6" s="460" t="s">
        <v>148</v>
      </c>
      <c r="F6" s="8" t="s">
        <v>9</v>
      </c>
      <c r="G6" s="8" t="s">
        <v>9</v>
      </c>
      <c r="H6" s="21" t="s">
        <v>9</v>
      </c>
      <c r="I6" s="7" t="s">
        <v>9</v>
      </c>
    </row>
    <row r="7" spans="1:9" ht="30" customHeight="1">
      <c r="A7" s="5">
        <v>6</v>
      </c>
      <c r="B7" s="505"/>
      <c r="C7" s="163"/>
      <c r="D7" s="460" t="s">
        <v>148</v>
      </c>
      <c r="E7" s="460" t="s">
        <v>148</v>
      </c>
      <c r="F7" s="163"/>
      <c r="G7" s="10" t="s">
        <v>9</v>
      </c>
      <c r="H7" s="5"/>
      <c r="I7" s="11" t="s">
        <v>9</v>
      </c>
    </row>
    <row r="8" spans="1:9" ht="30" customHeight="1">
      <c r="A8" s="12">
        <v>7</v>
      </c>
      <c r="B8" s="343"/>
      <c r="C8" s="150"/>
      <c r="D8" s="339"/>
      <c r="E8" s="163"/>
      <c r="F8" s="151"/>
      <c r="G8" s="439"/>
      <c r="H8" s="26" t="s">
        <v>9</v>
      </c>
      <c r="I8" s="15" t="s">
        <v>9</v>
      </c>
    </row>
    <row r="9" spans="1:9" ht="30" customHeight="1">
      <c r="A9" s="5">
        <v>8</v>
      </c>
      <c r="B9" s="509"/>
      <c r="C9" s="525" t="s">
        <v>12</v>
      </c>
      <c r="D9" s="437" t="s">
        <v>149</v>
      </c>
      <c r="E9" s="440" t="s">
        <v>150</v>
      </c>
      <c r="F9" s="508"/>
      <c r="G9" s="506" t="s">
        <v>151</v>
      </c>
      <c r="H9" s="482"/>
      <c r="I9" s="509"/>
    </row>
    <row r="10" spans="1:9" ht="30" customHeight="1">
      <c r="A10" s="12">
        <v>9</v>
      </c>
      <c r="B10" s="524" t="s">
        <v>152</v>
      </c>
      <c r="C10" s="25" t="s">
        <v>9</v>
      </c>
      <c r="D10" s="438" t="s">
        <v>149</v>
      </c>
      <c r="E10" s="441" t="s">
        <v>153</v>
      </c>
      <c r="F10" s="521" t="s">
        <v>154</v>
      </c>
      <c r="G10" s="507" t="s">
        <v>155</v>
      </c>
      <c r="H10" s="496"/>
      <c r="I10" s="501"/>
    </row>
    <row r="11" spans="1:9" ht="30" customHeight="1">
      <c r="A11" s="5">
        <v>10</v>
      </c>
      <c r="B11" s="344"/>
      <c r="C11" s="5" t="s">
        <v>9</v>
      </c>
      <c r="D11" s="465"/>
      <c r="E11" s="466"/>
      <c r="F11" s="486"/>
      <c r="G11" s="335"/>
      <c r="H11" s="335"/>
      <c r="I11" s="11" t="s">
        <v>9</v>
      </c>
    </row>
    <row r="12" spans="1:9" ht="30" customHeight="1">
      <c r="A12" s="12">
        <v>11</v>
      </c>
      <c r="B12" s="15" t="s">
        <v>9</v>
      </c>
      <c r="C12" s="25" t="s">
        <v>9</v>
      </c>
      <c r="D12" s="28" t="s">
        <v>9</v>
      </c>
      <c r="E12" s="32" t="s">
        <v>9</v>
      </c>
      <c r="F12" s="497" t="s">
        <v>156</v>
      </c>
      <c r="G12" s="480" t="s">
        <v>157</v>
      </c>
      <c r="H12" s="35" t="s">
        <v>9</v>
      </c>
      <c r="I12" s="15" t="s">
        <v>9</v>
      </c>
    </row>
    <row r="13" spans="1:9" ht="30" customHeight="1">
      <c r="A13" s="5">
        <v>12</v>
      </c>
      <c r="B13" s="41"/>
      <c r="C13" s="42"/>
      <c r="D13" s="150"/>
      <c r="E13" s="335"/>
      <c r="F13" s="497" t="s">
        <v>158</v>
      </c>
      <c r="G13" s="481" t="s">
        <v>159</v>
      </c>
      <c r="H13" s="474"/>
      <c r="I13" s="46"/>
    </row>
    <row r="14" spans="1:9" ht="30" customHeight="1">
      <c r="A14" s="12">
        <v>13</v>
      </c>
      <c r="B14" s="47"/>
      <c r="C14" s="48"/>
      <c r="D14" s="43"/>
      <c r="E14" s="49"/>
      <c r="F14" s="50"/>
      <c r="G14" s="48"/>
      <c r="H14" s="51"/>
      <c r="I14" s="48"/>
    </row>
    <row r="15" spans="1:9" ht="30" customHeight="1">
      <c r="A15" s="5">
        <v>14</v>
      </c>
      <c r="B15" s="52"/>
      <c r="C15" s="43"/>
      <c r="D15" s="43"/>
      <c r="E15" s="44"/>
      <c r="F15" s="53"/>
      <c r="G15" s="44"/>
      <c r="H15" s="54"/>
      <c r="I15" s="44"/>
    </row>
    <row r="16" spans="1:9" ht="30" customHeight="1">
      <c r="A16" s="12">
        <v>15</v>
      </c>
      <c r="B16" s="55"/>
      <c r="C16" s="56"/>
      <c r="D16" s="56"/>
      <c r="E16" s="57"/>
      <c r="F16" s="58"/>
      <c r="G16" s="59"/>
      <c r="H16" s="60"/>
      <c r="I16" s="55"/>
    </row>
    <row r="17" spans="1:9" ht="30" customHeight="1">
      <c r="A17" s="16">
        <v>16</v>
      </c>
      <c r="B17" s="61"/>
      <c r="C17" s="58"/>
      <c r="D17" s="62"/>
      <c r="E17" s="63"/>
      <c r="F17" s="58"/>
      <c r="G17" s="64"/>
      <c r="H17" s="60"/>
      <c r="I17" s="61"/>
    </row>
    <row r="18" spans="1:9" ht="30" customHeight="1">
      <c r="A18" s="16">
        <v>17</v>
      </c>
      <c r="B18" s="153"/>
      <c r="C18" s="66"/>
      <c r="D18" s="67"/>
      <c r="E18" s="67"/>
      <c r="F18" s="67"/>
      <c r="G18" s="68"/>
      <c r="H18" s="489" t="s">
        <v>160</v>
      </c>
      <c r="I18" s="68"/>
    </row>
    <row r="19" spans="1:9" ht="30" customHeight="1">
      <c r="A19" s="16">
        <v>18</v>
      </c>
      <c r="B19" s="154"/>
      <c r="C19" s="164" t="s">
        <v>161</v>
      </c>
      <c r="D19" s="164" t="s">
        <v>161</v>
      </c>
      <c r="E19" s="164" t="s">
        <v>162</v>
      </c>
      <c r="F19" s="522" t="s">
        <v>163</v>
      </c>
      <c r="G19" s="67"/>
      <c r="H19" s="489" t="s">
        <v>160</v>
      </c>
      <c r="I19" s="67"/>
    </row>
    <row r="20" spans="1:9" ht="30" customHeight="1">
      <c r="A20" s="16">
        <v>19</v>
      </c>
      <c r="B20" s="387"/>
      <c r="C20" s="164" t="s">
        <v>161</v>
      </c>
      <c r="D20" s="164" t="s">
        <v>161</v>
      </c>
      <c r="E20" s="164" t="s">
        <v>162</v>
      </c>
      <c r="F20" s="522" t="s">
        <v>164</v>
      </c>
      <c r="G20" s="67"/>
      <c r="H20" s="489" t="s">
        <v>160</v>
      </c>
      <c r="I20" s="67"/>
    </row>
    <row r="21" spans="1:9" ht="30" customHeight="1">
      <c r="A21" s="5">
        <v>20</v>
      </c>
      <c r="B21" s="388"/>
      <c r="C21" s="164" t="s">
        <v>161</v>
      </c>
      <c r="D21" s="164" t="s">
        <v>161</v>
      </c>
      <c r="E21" s="164" t="s">
        <v>162</v>
      </c>
      <c r="F21" s="522" t="s">
        <v>165</v>
      </c>
      <c r="G21" s="74"/>
      <c r="H21" s="490" t="s">
        <v>160</v>
      </c>
      <c r="I21" s="61"/>
    </row>
    <row r="22" spans="1:9" ht="30" customHeight="1">
      <c r="A22" s="12">
        <v>21</v>
      </c>
      <c r="B22" s="503"/>
      <c r="C22" s="76"/>
      <c r="D22" s="150"/>
      <c r="E22" s="150"/>
      <c r="F22" s="150"/>
      <c r="G22" s="74"/>
      <c r="H22" s="77"/>
      <c r="I22" s="61"/>
    </row>
    <row r="23" spans="1:9" ht="30" customHeight="1">
      <c r="A23" s="16">
        <v>22</v>
      </c>
      <c r="B23" s="504" t="s">
        <v>12</v>
      </c>
      <c r="C23" s="535"/>
      <c r="D23" s="339"/>
      <c r="E23" s="339"/>
      <c r="F23" s="150"/>
      <c r="G23" s="64"/>
      <c r="H23" s="79"/>
      <c r="I23" s="531" t="s">
        <v>166</v>
      </c>
    </row>
    <row r="24" spans="1:9" ht="30" customHeight="1">
      <c r="A24" s="16">
        <v>23</v>
      </c>
      <c r="B24" s="61"/>
      <c r="C24" s="64"/>
      <c r="D24" s="150"/>
      <c r="E24" s="150"/>
      <c r="F24" s="150"/>
      <c r="G24" s="64"/>
      <c r="H24" s="79"/>
      <c r="I24" s="531" t="s">
        <v>166</v>
      </c>
    </row>
    <row r="25" spans="1:9" ht="30" customHeight="1">
      <c r="A25" s="16">
        <v>24</v>
      </c>
      <c r="B25" s="80"/>
      <c r="C25" s="43"/>
      <c r="D25" s="336" t="s">
        <v>167</v>
      </c>
      <c r="E25" s="523" t="s">
        <v>168</v>
      </c>
      <c r="F25" s="43"/>
      <c r="G25" s="81"/>
      <c r="H25" s="82"/>
      <c r="I25" s="531" t="s">
        <v>166</v>
      </c>
    </row>
    <row r="26" spans="1:9" ht="30" customHeight="1">
      <c r="A26" s="16">
        <v>25</v>
      </c>
      <c r="B26" s="502"/>
      <c r="C26" s="495" t="s">
        <v>169</v>
      </c>
      <c r="D26" s="495" t="s">
        <v>169</v>
      </c>
      <c r="E26" s="495" t="s">
        <v>169</v>
      </c>
      <c r="F26" s="527" t="s">
        <v>170</v>
      </c>
      <c r="G26" s="349"/>
      <c r="H26" s="171"/>
      <c r="I26" s="531" t="s">
        <v>166</v>
      </c>
    </row>
    <row r="27" spans="1:9" ht="30" customHeight="1">
      <c r="A27" s="16">
        <v>26</v>
      </c>
      <c r="B27" s="363" t="s">
        <v>171</v>
      </c>
      <c r="C27" s="495" t="s">
        <v>169</v>
      </c>
      <c r="D27" s="495" t="s">
        <v>169</v>
      </c>
      <c r="E27" s="495" t="s">
        <v>169</v>
      </c>
      <c r="F27" s="527" t="s">
        <v>172</v>
      </c>
      <c r="G27" s="350"/>
      <c r="H27" s="171"/>
      <c r="I27" s="531" t="s">
        <v>166</v>
      </c>
    </row>
    <row r="28" spans="1:9" ht="30" customHeight="1">
      <c r="A28" s="16">
        <v>27</v>
      </c>
      <c r="B28" s="502"/>
      <c r="C28" s="502"/>
      <c r="D28" s="502"/>
      <c r="E28" s="502"/>
      <c r="F28" s="502"/>
      <c r="G28" s="84"/>
      <c r="H28" s="86"/>
      <c r="I28" s="61"/>
    </row>
    <row r="29" spans="1:9" ht="30" customHeight="1">
      <c r="A29" s="16">
        <v>28</v>
      </c>
      <c r="B29" s="498"/>
      <c r="C29" s="84"/>
      <c r="D29" s="84"/>
      <c r="E29" s="84"/>
      <c r="F29" s="44"/>
      <c r="G29" s="64"/>
      <c r="H29" s="87"/>
      <c r="I29" s="61"/>
    </row>
    <row r="30" spans="1:9" ht="30" customHeight="1">
      <c r="A30" s="16">
        <v>29</v>
      </c>
      <c r="B30" s="498"/>
      <c r="C30" s="64"/>
      <c r="D30" s="169" t="s">
        <v>173</v>
      </c>
      <c r="E30" s="510"/>
      <c r="F30" s="325"/>
      <c r="G30" s="64"/>
      <c r="H30" s="429"/>
      <c r="I30" s="80"/>
    </row>
    <row r="31" spans="1:9" ht="30" customHeight="1">
      <c r="A31" s="16">
        <v>30</v>
      </c>
      <c r="B31" s="498"/>
      <c r="C31" s="90"/>
      <c r="D31" s="528" t="s">
        <v>38</v>
      </c>
      <c r="E31" s="90"/>
      <c r="F31" s="325"/>
      <c r="G31" s="90"/>
      <c r="H31" s="60"/>
      <c r="I31" s="61"/>
    </row>
    <row r="32" spans="1:9" ht="30" customHeight="1">
      <c r="A32" s="580" t="s">
        <v>174</v>
      </c>
      <c r="B32" s="37" t="s">
        <v>1</v>
      </c>
      <c r="C32" s="37" t="s">
        <v>2</v>
      </c>
      <c r="D32" s="38" t="s">
        <v>3</v>
      </c>
      <c r="E32" s="38" t="s">
        <v>4</v>
      </c>
      <c r="F32" s="37" t="s">
        <v>5</v>
      </c>
      <c r="G32" s="37" t="s">
        <v>6</v>
      </c>
      <c r="H32" s="3" t="s">
        <v>7</v>
      </c>
      <c r="I32" s="39" t="s">
        <v>8</v>
      </c>
    </row>
    <row r="33" spans="1:9" ht="30" customHeight="1">
      <c r="A33" s="7">
        <v>1</v>
      </c>
      <c r="B33" s="498"/>
      <c r="C33" s="92"/>
      <c r="D33" s="530"/>
      <c r="E33" s="94"/>
      <c r="F33" s="64"/>
      <c r="G33" s="64"/>
      <c r="H33" s="150"/>
      <c r="I33" s="43"/>
    </row>
    <row r="34" spans="1:9" ht="30" customHeight="1">
      <c r="A34" s="7">
        <v>2</v>
      </c>
      <c r="B34" s="498"/>
      <c r="C34" s="43"/>
      <c r="D34" s="91"/>
      <c r="E34" s="485" t="s">
        <v>175</v>
      </c>
      <c r="F34" s="485" t="s">
        <v>176</v>
      </c>
      <c r="G34" s="54"/>
      <c r="H34" s="74"/>
      <c r="I34" s="64"/>
    </row>
    <row r="35" spans="1:9" ht="30" customHeight="1">
      <c r="A35" s="7">
        <v>3</v>
      </c>
      <c r="B35" s="498"/>
      <c r="C35" s="163"/>
      <c r="D35" s="163"/>
      <c r="E35" s="163"/>
      <c r="F35" s="163"/>
      <c r="G35" s="74"/>
      <c r="H35" s="74"/>
      <c r="I35" s="64"/>
    </row>
    <row r="36" spans="1:9" ht="30" customHeight="1">
      <c r="A36" s="7">
        <v>4</v>
      </c>
      <c r="B36" s="498"/>
      <c r="C36" s="163"/>
      <c r="D36" s="163"/>
      <c r="E36" s="163"/>
      <c r="F36" s="163"/>
      <c r="G36" s="64"/>
      <c r="H36" s="64"/>
      <c r="I36" s="64"/>
    </row>
    <row r="37" spans="1:9" ht="30" customHeight="1">
      <c r="A37" s="7">
        <v>5</v>
      </c>
      <c r="B37" s="64"/>
      <c r="C37" s="331"/>
      <c r="D37" s="88"/>
      <c r="E37" s="542" t="s">
        <v>177</v>
      </c>
      <c r="F37" s="543" t="s">
        <v>178</v>
      </c>
      <c r="G37" s="325"/>
      <c r="H37" s="518"/>
      <c r="I37" s="64"/>
    </row>
    <row r="38" spans="1:9" ht="30" customHeight="1">
      <c r="A38" s="7">
        <v>6</v>
      </c>
      <c r="B38" s="504" t="s">
        <v>12</v>
      </c>
      <c r="C38" s="548" t="s">
        <v>179</v>
      </c>
      <c r="D38" s="539" t="s">
        <v>180</v>
      </c>
      <c r="E38" s="540" t="s">
        <v>181</v>
      </c>
      <c r="F38" s="325"/>
      <c r="G38" s="342"/>
      <c r="H38" s="325"/>
      <c r="I38" s="43"/>
    </row>
    <row r="39" spans="1:9" ht="30" customHeight="1">
      <c r="A39" s="7">
        <v>7</v>
      </c>
      <c r="B39" s="491"/>
      <c r="C39" s="163"/>
      <c r="D39" s="472" t="s">
        <v>182</v>
      </c>
      <c r="E39" s="467" t="s">
        <v>183</v>
      </c>
      <c r="F39" s="491"/>
      <c r="G39" s="458"/>
      <c r="H39" s="64"/>
      <c r="I39" s="64"/>
    </row>
    <row r="40" spans="1:9" ht="30" customHeight="1">
      <c r="A40" s="7">
        <v>8</v>
      </c>
      <c r="B40" s="552" t="s">
        <v>184</v>
      </c>
      <c r="C40" s="491"/>
      <c r="D40" s="472" t="s">
        <v>182</v>
      </c>
      <c r="E40" s="467" t="s">
        <v>185</v>
      </c>
      <c r="F40" s="165"/>
      <c r="G40" s="458"/>
      <c r="H40" s="44"/>
      <c r="I40" s="64"/>
    </row>
    <row r="41" spans="1:9" ht="30" customHeight="1">
      <c r="A41" s="16">
        <v>9</v>
      </c>
      <c r="B41" s="553" t="s">
        <v>186</v>
      </c>
      <c r="C41" s="559" t="s">
        <v>187</v>
      </c>
      <c r="D41" s="150"/>
      <c r="E41" s="150"/>
      <c r="F41" s="541"/>
      <c r="G41" s="150"/>
      <c r="H41" s="550" t="s">
        <v>188</v>
      </c>
      <c r="I41" s="64"/>
    </row>
    <row r="42" spans="1:9" ht="30" customHeight="1">
      <c r="A42" s="7">
        <v>10</v>
      </c>
      <c r="B42" s="170"/>
      <c r="C42" s="170"/>
      <c r="D42" s="150"/>
      <c r="E42" s="558"/>
      <c r="F42" s="551" t="s">
        <v>189</v>
      </c>
      <c r="G42" s="150"/>
      <c r="H42" s="517" t="s">
        <v>190</v>
      </c>
      <c r="I42" s="64"/>
    </row>
    <row r="43" spans="1:9" ht="30" customHeight="1">
      <c r="A43" s="7">
        <v>11</v>
      </c>
      <c r="B43" s="170"/>
      <c r="C43" s="170"/>
      <c r="D43" s="342"/>
      <c r="E43" s="154"/>
      <c r="F43" s="67"/>
      <c r="G43" s="64"/>
      <c r="H43" s="64"/>
      <c r="I43" s="64"/>
    </row>
    <row r="44" spans="1:9" ht="30" customHeight="1">
      <c r="A44" s="7">
        <v>12</v>
      </c>
      <c r="B44" s="163"/>
      <c r="C44" s="43"/>
      <c r="D44" s="163"/>
      <c r="E44" s="163"/>
      <c r="F44" s="104"/>
      <c r="G44" s="335"/>
      <c r="H44" s="511" t="s">
        <v>191</v>
      </c>
      <c r="I44" s="43"/>
    </row>
    <row r="45" spans="1:9" ht="35.25" customHeight="1">
      <c r="A45" s="7">
        <v>13</v>
      </c>
      <c r="B45" s="163"/>
      <c r="C45" s="64"/>
      <c r="D45" s="163"/>
      <c r="E45" s="537"/>
      <c r="F45" s="538"/>
      <c r="G45" s="325"/>
      <c r="H45" s="536" t="s">
        <v>192</v>
      </c>
      <c r="I45" s="54"/>
    </row>
    <row r="46" spans="1:9" ht="30" customHeight="1">
      <c r="A46" s="7">
        <v>14</v>
      </c>
      <c r="B46" s="163"/>
      <c r="C46" s="102"/>
      <c r="D46" s="567" t="s">
        <v>193</v>
      </c>
      <c r="E46" s="571"/>
      <c r="F46" s="568"/>
      <c r="G46" s="102"/>
      <c r="H46" s="512" t="s">
        <v>191</v>
      </c>
      <c r="I46" s="64"/>
    </row>
    <row r="47" spans="1:9" ht="30" customHeight="1">
      <c r="A47" s="7">
        <v>15</v>
      </c>
      <c r="B47" s="324"/>
      <c r="C47" s="578" t="s">
        <v>12</v>
      </c>
      <c r="D47" s="570" t="s">
        <v>194</v>
      </c>
      <c r="E47" s="572" t="s">
        <v>195</v>
      </c>
      <c r="F47" s="324"/>
      <c r="G47" s="569"/>
      <c r="H47" s="513" t="s">
        <v>191</v>
      </c>
      <c r="I47" s="43"/>
    </row>
    <row r="48" spans="1:9" ht="30" customHeight="1">
      <c r="A48" s="16">
        <v>16</v>
      </c>
      <c r="B48" s="325"/>
      <c r="C48" s="163"/>
      <c r="D48" s="163"/>
      <c r="E48" s="526"/>
      <c r="F48" s="458"/>
      <c r="G48" s="450"/>
      <c r="H48" s="514" t="s">
        <v>191</v>
      </c>
      <c r="I48" s="64"/>
    </row>
    <row r="49" spans="1:9" ht="40.5" customHeight="1">
      <c r="A49" s="7">
        <v>17</v>
      </c>
      <c r="B49" s="163"/>
      <c r="C49" s="573" t="s">
        <v>196</v>
      </c>
      <c r="D49" s="573" t="s">
        <v>197</v>
      </c>
      <c r="E49" s="573" t="s">
        <v>198</v>
      </c>
      <c r="F49" s="573" t="s">
        <v>199</v>
      </c>
      <c r="G49" s="43"/>
      <c r="H49" s="515" t="s">
        <v>191</v>
      </c>
      <c r="I49" s="369" t="s">
        <v>200</v>
      </c>
    </row>
    <row r="50" spans="1:9" ht="30" customHeight="1">
      <c r="A50" s="16">
        <v>18</v>
      </c>
      <c r="B50" s="324"/>
      <c r="C50" s="163"/>
      <c r="D50" s="163"/>
      <c r="E50" s="163"/>
      <c r="F50" s="163"/>
      <c r="G50" s="109"/>
      <c r="H50" s="574" t="s">
        <v>201</v>
      </c>
      <c r="I50" s="108"/>
    </row>
    <row r="51" spans="1:9" ht="30" customHeight="1">
      <c r="A51" s="7">
        <v>19</v>
      </c>
      <c r="B51" s="331"/>
      <c r="C51" s="163"/>
      <c r="D51" s="163"/>
      <c r="E51" s="163"/>
      <c r="F51" s="579" t="s">
        <v>202</v>
      </c>
      <c r="G51" s="150"/>
      <c r="H51" s="575" t="s">
        <v>201</v>
      </c>
      <c r="I51" s="64"/>
    </row>
    <row r="52" spans="1:9" ht="30" customHeight="1">
      <c r="A52" s="7">
        <v>20</v>
      </c>
      <c r="B52" s="578" t="s">
        <v>12</v>
      </c>
      <c r="C52" s="91"/>
      <c r="D52" s="576" t="s">
        <v>203</v>
      </c>
      <c r="E52" s="577" t="s">
        <v>204</v>
      </c>
      <c r="F52" s="325"/>
      <c r="G52" s="150"/>
      <c r="H52" s="150"/>
      <c r="I52" s="64"/>
    </row>
    <row r="53" spans="1:9" ht="48.75" customHeight="1">
      <c r="A53" s="7">
        <v>21</v>
      </c>
      <c r="B53" s="150"/>
      <c r="C53" s="471"/>
      <c r="D53" s="471"/>
      <c r="E53" s="556" t="s">
        <v>205</v>
      </c>
      <c r="F53" s="556" t="s">
        <v>206</v>
      </c>
      <c r="G53" s="458"/>
      <c r="H53" s="170"/>
      <c r="I53" s="61"/>
    </row>
    <row r="54" spans="1:9" ht="30" customHeight="1">
      <c r="A54" s="7">
        <v>22</v>
      </c>
      <c r="B54" s="150"/>
      <c r="C54" s="471"/>
      <c r="D54" s="566" t="s">
        <v>207</v>
      </c>
      <c r="E54" s="544" t="s">
        <v>208</v>
      </c>
      <c r="F54" s="345" t="s">
        <v>209</v>
      </c>
      <c r="G54" s="567" t="s">
        <v>210</v>
      </c>
      <c r="H54" s="150"/>
      <c r="I54" s="64"/>
    </row>
    <row r="55" spans="1:9" ht="30" customHeight="1">
      <c r="A55" s="7">
        <v>23</v>
      </c>
      <c r="B55" s="509"/>
      <c r="C55" s="585" t="s">
        <v>211</v>
      </c>
      <c r="D55" s="170"/>
      <c r="E55" s="411"/>
      <c r="F55" s="560" t="s">
        <v>212</v>
      </c>
      <c r="G55" s="170"/>
      <c r="H55" s="170"/>
      <c r="I55" s="64"/>
    </row>
    <row r="56" spans="1:9" ht="30" customHeight="1">
      <c r="A56" s="7">
        <v>24</v>
      </c>
      <c r="B56" s="563" t="s">
        <v>213</v>
      </c>
      <c r="C56" s="547"/>
      <c r="D56" s="484"/>
      <c r="E56" s="333"/>
      <c r="F56" s="333"/>
      <c r="G56" s="483"/>
      <c r="H56" s="565"/>
      <c r="I56" s="112"/>
    </row>
    <row r="57" spans="1:9" ht="30" customHeight="1">
      <c r="A57" s="7">
        <v>25</v>
      </c>
      <c r="B57" s="331"/>
      <c r="C57" s="547"/>
      <c r="D57" s="333"/>
      <c r="E57" s="333"/>
      <c r="F57" s="150"/>
      <c r="G57" s="64"/>
      <c r="H57" s="436"/>
      <c r="I57" s="64"/>
    </row>
    <row r="58" spans="1:9" ht="30" customHeight="1">
      <c r="A58" s="11">
        <v>26</v>
      </c>
      <c r="B58" s="164" t="s">
        <v>214</v>
      </c>
      <c r="C58" s="150"/>
      <c r="D58" s="163"/>
      <c r="E58" s="163"/>
      <c r="F58" s="469"/>
      <c r="G58" s="337"/>
      <c r="H58" s="565"/>
      <c r="I58" s="64"/>
    </row>
    <row r="59" spans="1:9" ht="30" customHeight="1">
      <c r="A59" s="15">
        <v>27</v>
      </c>
      <c r="B59" s="164" t="s">
        <v>214</v>
      </c>
      <c r="C59" s="585" t="s">
        <v>211</v>
      </c>
      <c r="D59" s="163"/>
      <c r="E59" s="510"/>
      <c r="F59" s="325"/>
      <c r="G59" s="337"/>
      <c r="H59" s="337"/>
      <c r="I59" s="43"/>
    </row>
    <row r="60" spans="1:9" ht="30" customHeight="1">
      <c r="A60" s="11">
        <v>28</v>
      </c>
      <c r="B60" s="533" t="s">
        <v>214</v>
      </c>
      <c r="C60" s="42"/>
      <c r="D60" s="586" t="s">
        <v>215</v>
      </c>
      <c r="E60" s="557"/>
      <c r="F60" s="508"/>
      <c r="G60" s="44"/>
      <c r="H60" s="44"/>
      <c r="I60" s="44"/>
    </row>
    <row r="61" spans="1:9" ht="30" customHeight="1">
      <c r="A61" s="12">
        <v>29</v>
      </c>
      <c r="B61" s="534" t="s">
        <v>214</v>
      </c>
      <c r="C61" s="324"/>
      <c r="D61" s="324"/>
      <c r="E61" s="324"/>
      <c r="F61" s="324"/>
      <c r="G61" s="516"/>
      <c r="H61" s="55"/>
      <c r="I61" s="55"/>
    </row>
    <row r="62" spans="1:9" ht="30" customHeight="1">
      <c r="A62" s="15">
        <v>30</v>
      </c>
      <c r="B62" s="164" t="s">
        <v>214</v>
      </c>
      <c r="C62" s="594" t="s">
        <v>211</v>
      </c>
      <c r="D62" s="163"/>
      <c r="E62" s="163"/>
      <c r="F62" s="163"/>
      <c r="G62" s="55"/>
      <c r="H62" s="516"/>
      <c r="I62" s="55"/>
    </row>
    <row r="63" spans="1:9" ht="30" customHeight="1">
      <c r="A63" s="15">
        <v>31</v>
      </c>
      <c r="B63" s="164" t="s">
        <v>214</v>
      </c>
      <c r="C63" s="163"/>
      <c r="D63" s="163"/>
      <c r="E63" s="582" t="s">
        <v>216</v>
      </c>
      <c r="F63" s="582" t="s">
        <v>217</v>
      </c>
      <c r="G63" s="583" t="s">
        <v>218</v>
      </c>
      <c r="H63" s="584" t="s">
        <v>219</v>
      </c>
      <c r="I63" s="93"/>
    </row>
    <row r="64" spans="1:9" ht="30" customHeight="1">
      <c r="A64" s="148" t="s">
        <v>220</v>
      </c>
      <c r="B64" s="628" t="s">
        <v>1</v>
      </c>
      <c r="C64" s="628" t="s">
        <v>2</v>
      </c>
      <c r="D64" s="628" t="s">
        <v>3</v>
      </c>
      <c r="E64" s="628" t="s">
        <v>4</v>
      </c>
      <c r="F64" s="628" t="s">
        <v>5</v>
      </c>
      <c r="G64" s="628" t="s">
        <v>6</v>
      </c>
      <c r="H64" s="628" t="s">
        <v>7</v>
      </c>
      <c r="I64" s="629" t="s">
        <v>8</v>
      </c>
    </row>
    <row r="65" spans="1:9" ht="30" customHeight="1">
      <c r="A65" s="7">
        <v>1</v>
      </c>
      <c r="B65" s="164" t="s">
        <v>214</v>
      </c>
      <c r="C65" s="163"/>
      <c r="D65" s="163"/>
      <c r="E65" s="163"/>
      <c r="F65" s="163"/>
      <c r="G65" s="97"/>
      <c r="H65" s="64"/>
      <c r="I65" s="43"/>
    </row>
    <row r="66" spans="1:9" ht="30" customHeight="1">
      <c r="A66" s="7">
        <v>2</v>
      </c>
      <c r="B66" s="164" t="s">
        <v>214</v>
      </c>
      <c r="C66" s="74"/>
      <c r="D66" s="101"/>
      <c r="E66" s="105"/>
      <c r="F66" s="470"/>
      <c r="G66" s="64"/>
      <c r="H66" s="74"/>
      <c r="I66" s="64"/>
    </row>
    <row r="67" spans="1:9" ht="30" customHeight="1">
      <c r="A67" s="7">
        <v>3</v>
      </c>
      <c r="B67" s="164" t="s">
        <v>214</v>
      </c>
      <c r="C67" s="120"/>
      <c r="D67" s="163"/>
      <c r="E67" s="526"/>
      <c r="F67" s="325"/>
      <c r="G67" s="150"/>
      <c r="H67" s="44"/>
      <c r="I67" s="44"/>
    </row>
    <row r="68" spans="1:9" ht="30" customHeight="1">
      <c r="A68" s="7">
        <v>4</v>
      </c>
      <c r="B68" s="164" t="s">
        <v>214</v>
      </c>
      <c r="C68" s="606"/>
      <c r="D68" s="607"/>
      <c r="E68" s="608" t="s">
        <v>221</v>
      </c>
      <c r="F68" s="43"/>
      <c r="G68" s="45"/>
      <c r="H68" s="587"/>
      <c r="I68" s="59"/>
    </row>
    <row r="69" spans="1:9" ht="30" customHeight="1">
      <c r="A69" s="7">
        <v>5</v>
      </c>
      <c r="B69" s="596" t="s">
        <v>214</v>
      </c>
      <c r="C69" s="598" t="s">
        <v>211</v>
      </c>
      <c r="D69" s="597"/>
      <c r="E69" s="399"/>
      <c r="F69" s="589"/>
      <c r="G69" s="590"/>
      <c r="H69" s="588"/>
      <c r="I69" s="123"/>
    </row>
    <row r="70" spans="1:9" ht="30">
      <c r="A70" s="7">
        <v>6</v>
      </c>
      <c r="B70" s="596" t="s">
        <v>214</v>
      </c>
      <c r="C70" s="599" t="s">
        <v>211</v>
      </c>
      <c r="D70" s="601" t="s">
        <v>222</v>
      </c>
      <c r="E70" s="399"/>
      <c r="F70" s="169" t="s">
        <v>223</v>
      </c>
      <c r="G70" s="591"/>
      <c r="H70" s="609" t="s">
        <v>224</v>
      </c>
      <c r="I70" s="43"/>
    </row>
    <row r="71" spans="1:9" ht="30">
      <c r="A71" s="7">
        <v>7</v>
      </c>
      <c r="B71" s="596" t="s">
        <v>214</v>
      </c>
      <c r="C71" s="600" t="s">
        <v>211</v>
      </c>
      <c r="D71" s="168" t="s">
        <v>222</v>
      </c>
      <c r="E71" s="354"/>
      <c r="F71" s="169" t="s">
        <v>223</v>
      </c>
      <c r="G71" s="483"/>
      <c r="H71" s="574" t="s">
        <v>225</v>
      </c>
      <c r="I71" s="64"/>
    </row>
    <row r="72" spans="1:9" ht="30" customHeight="1">
      <c r="A72" s="7">
        <v>8</v>
      </c>
      <c r="B72" s="164" t="s">
        <v>214</v>
      </c>
      <c r="C72" s="334"/>
      <c r="D72" s="334"/>
      <c r="E72" s="334"/>
      <c r="F72" s="334"/>
      <c r="G72" s="334"/>
      <c r="H72" s="334"/>
      <c r="I72" s="64"/>
    </row>
    <row r="73" spans="1:9" ht="30" customHeight="1">
      <c r="A73" s="7">
        <v>9</v>
      </c>
      <c r="B73" s="164" t="s">
        <v>226</v>
      </c>
      <c r="C73" s="627" t="s">
        <v>227</v>
      </c>
      <c r="D73" s="334"/>
      <c r="E73" s="334"/>
      <c r="F73" s="604" t="s">
        <v>228</v>
      </c>
      <c r="G73" s="334"/>
      <c r="H73" s="334"/>
      <c r="I73" s="64"/>
    </row>
    <row r="74" spans="1:9" ht="30" customHeight="1">
      <c r="A74" s="7">
        <v>10</v>
      </c>
      <c r="B74" s="128"/>
      <c r="C74" s="150"/>
      <c r="D74" s="163"/>
      <c r="E74" s="510"/>
      <c r="F74" s="605" t="s">
        <v>229</v>
      </c>
      <c r="G74" s="334"/>
      <c r="H74" s="355"/>
      <c r="I74" s="64"/>
    </row>
    <row r="75" spans="1:9" ht="20.100000000000001" customHeight="1">
      <c r="A75" s="7">
        <v>11</v>
      </c>
      <c r="B75" s="84"/>
      <c r="C75" s="43"/>
      <c r="D75" s="592"/>
      <c r="E75" s="564"/>
      <c r="F75" s="150"/>
      <c r="G75" s="354"/>
      <c r="H75" s="564"/>
      <c r="I75" s="64"/>
    </row>
    <row r="76" spans="1:9" ht="30" customHeight="1">
      <c r="A76" s="7">
        <v>12</v>
      </c>
      <c r="B76" s="458"/>
      <c r="C76" s="631" t="s">
        <v>230</v>
      </c>
      <c r="D76" s="339"/>
      <c r="E76" s="164" t="s">
        <v>231</v>
      </c>
      <c r="F76" s="458"/>
      <c r="G76" s="520"/>
      <c r="H76" s="43"/>
      <c r="I76" s="43"/>
    </row>
    <row r="77" spans="1:9" ht="30" customHeight="1">
      <c r="A77" s="7">
        <v>13</v>
      </c>
      <c r="B77" s="547"/>
      <c r="C77" s="547"/>
      <c r="D77" s="549" t="s">
        <v>232</v>
      </c>
      <c r="E77" s="393" t="s">
        <v>233</v>
      </c>
      <c r="F77" s="393" t="s">
        <v>234</v>
      </c>
      <c r="G77" s="492"/>
      <c r="H77" s="131"/>
      <c r="I77" s="43"/>
    </row>
    <row r="78" spans="1:9" ht="30" customHeight="1">
      <c r="A78" s="7">
        <v>14</v>
      </c>
      <c r="B78" s="568"/>
      <c r="C78" s="621"/>
      <c r="D78" s="549" t="s">
        <v>235</v>
      </c>
      <c r="E78" s="549" t="s">
        <v>235</v>
      </c>
      <c r="F78" s="623" t="s">
        <v>236</v>
      </c>
      <c r="G78" s="520"/>
      <c r="H78" s="485" t="s">
        <v>237</v>
      </c>
      <c r="I78" s="386" t="s">
        <v>238</v>
      </c>
    </row>
    <row r="79" spans="1:9" ht="30" customHeight="1">
      <c r="A79" s="7">
        <v>15</v>
      </c>
      <c r="B79" s="547"/>
      <c r="C79" s="621"/>
      <c r="D79" s="549" t="s">
        <v>235</v>
      </c>
      <c r="E79" s="549" t="s">
        <v>235</v>
      </c>
      <c r="F79" s="151"/>
      <c r="G79" s="64"/>
      <c r="H79" s="134"/>
      <c r="I79" s="43"/>
    </row>
    <row r="80" spans="1:9" ht="30" customHeight="1">
      <c r="A80" s="7">
        <v>16</v>
      </c>
      <c r="B80" s="151"/>
      <c r="C80" s="621"/>
      <c r="D80" s="545"/>
      <c r="E80" s="581"/>
      <c r="F80" s="508"/>
      <c r="G80" s="81"/>
      <c r="H80" s="135"/>
      <c r="I80" s="64"/>
    </row>
    <row r="81" spans="1:13" ht="30" customHeight="1">
      <c r="A81" s="7">
        <v>17</v>
      </c>
      <c r="B81" s="636" t="s">
        <v>239</v>
      </c>
      <c r="C81" s="634" t="s">
        <v>227</v>
      </c>
      <c r="D81" s="399"/>
      <c r="E81" s="635"/>
      <c r="F81" s="624" t="s">
        <v>240</v>
      </c>
      <c r="G81" s="386" t="s">
        <v>241</v>
      </c>
      <c r="H81" s="136"/>
      <c r="I81" s="113"/>
    </row>
    <row r="82" spans="1:13" ht="30" customHeight="1">
      <c r="A82" s="7">
        <v>18</v>
      </c>
      <c r="B82" s="636" t="s">
        <v>239</v>
      </c>
      <c r="C82" s="641" t="s">
        <v>211</v>
      </c>
      <c r="D82" s="150"/>
      <c r="E82" s="150"/>
      <c r="F82" s="151"/>
      <c r="G82" s="150"/>
      <c r="H82" s="150"/>
      <c r="I82" s="43"/>
    </row>
    <row r="83" spans="1:13" ht="30" customHeight="1">
      <c r="A83" s="7">
        <v>19</v>
      </c>
      <c r="B83" s="636" t="s">
        <v>239</v>
      </c>
      <c r="C83" s="642" t="s">
        <v>211</v>
      </c>
      <c r="D83" s="150"/>
      <c r="E83" s="150"/>
      <c r="F83" s="151"/>
      <c r="G83" s="150"/>
      <c r="H83" s="43"/>
      <c r="I83" s="43"/>
    </row>
    <row r="84" spans="1:13" ht="30" customHeight="1">
      <c r="A84" s="7">
        <v>20</v>
      </c>
      <c r="B84" s="636" t="s">
        <v>239</v>
      </c>
      <c r="C84" s="150"/>
      <c r="D84" s="160" t="s">
        <v>242</v>
      </c>
      <c r="E84" s="150"/>
      <c r="F84" s="151"/>
      <c r="G84" s="340"/>
      <c r="H84" s="91" t="s">
        <v>243</v>
      </c>
      <c r="I84" s="43"/>
    </row>
    <row r="85" spans="1:13" ht="30" customHeight="1">
      <c r="A85" s="7">
        <v>21</v>
      </c>
      <c r="B85" s="100"/>
      <c r="C85" s="458"/>
      <c r="D85" s="458"/>
      <c r="E85" s="458"/>
      <c r="F85" s="568"/>
      <c r="G85" s="340"/>
      <c r="H85" s="630" t="s">
        <v>244</v>
      </c>
      <c r="I85" s="81"/>
    </row>
    <row r="86" spans="1:13" ht="30" customHeight="1">
      <c r="A86" s="7">
        <v>22</v>
      </c>
      <c r="B86" s="137"/>
      <c r="C86" s="458"/>
      <c r="D86" s="458"/>
      <c r="E86" s="458"/>
      <c r="F86" s="568"/>
      <c r="G86" s="64"/>
      <c r="H86" s="638" t="s">
        <v>245</v>
      </c>
      <c r="I86" s="43"/>
    </row>
    <row r="87" spans="1:13" ht="30" customHeight="1">
      <c r="A87" s="16">
        <v>23</v>
      </c>
      <c r="B87" s="138"/>
      <c r="C87" s="625"/>
      <c r="D87" s="140"/>
      <c r="E87" s="141"/>
      <c r="F87" s="151"/>
      <c r="G87" s="64"/>
      <c r="H87" s="64"/>
      <c r="I87" s="64"/>
    </row>
    <row r="88" spans="1:13" ht="30" customHeight="1">
      <c r="A88" s="16">
        <v>24</v>
      </c>
      <c r="B88" s="142"/>
      <c r="C88" s="626"/>
      <c r="D88" s="133"/>
      <c r="E88" s="640" t="s">
        <v>246</v>
      </c>
      <c r="F88" s="151"/>
      <c r="G88" s="64"/>
      <c r="H88" s="369" t="s">
        <v>247</v>
      </c>
      <c r="I88" s="64"/>
    </row>
    <row r="89" spans="1:13" ht="30" customHeight="1">
      <c r="A89" s="7">
        <v>25</v>
      </c>
      <c r="B89" s="150"/>
      <c r="C89" s="621"/>
      <c r="D89" s="163"/>
      <c r="E89" s="386" t="s">
        <v>246</v>
      </c>
      <c r="F89" s="151"/>
      <c r="G89" s="64"/>
      <c r="H89" s="64"/>
      <c r="I89" s="647" t="s">
        <v>248</v>
      </c>
    </row>
    <row r="90" spans="1:13" ht="30" customHeight="1">
      <c r="A90" s="7">
        <v>26</v>
      </c>
      <c r="B90" s="150"/>
      <c r="C90" s="336" t="s">
        <v>249</v>
      </c>
      <c r="D90" s="74"/>
      <c r="E90" s="386" t="s">
        <v>246</v>
      </c>
      <c r="F90" s="151"/>
      <c r="G90" s="336" t="s">
        <v>250</v>
      </c>
      <c r="H90" s="646" t="s">
        <v>251</v>
      </c>
      <c r="I90" s="64"/>
    </row>
    <row r="91" spans="1:13" ht="30" customHeight="1">
      <c r="A91" s="7">
        <v>27</v>
      </c>
      <c r="B91" s="43"/>
      <c r="C91" s="621"/>
      <c r="D91" s="339"/>
      <c r="E91" s="439"/>
      <c r="F91" s="345" t="s">
        <v>252</v>
      </c>
      <c r="G91" s="150"/>
      <c r="H91" s="74"/>
      <c r="I91" s="64"/>
    </row>
    <row r="92" spans="1:13" ht="30" customHeight="1">
      <c r="A92" s="7">
        <v>28</v>
      </c>
      <c r="B92" s="595" t="s">
        <v>213</v>
      </c>
      <c r="C92" s="547"/>
      <c r="D92" s="131"/>
      <c r="E92" s="339"/>
      <c r="F92" s="339"/>
      <c r="G92" s="170"/>
      <c r="H92" s="64"/>
      <c r="I92" s="144"/>
    </row>
    <row r="93" spans="1:13" ht="30" customHeight="1">
      <c r="A93" s="7">
        <v>29</v>
      </c>
      <c r="B93" s="547"/>
      <c r="C93" s="547"/>
      <c r="D93" s="131"/>
      <c r="E93" s="339"/>
      <c r="F93" s="131"/>
      <c r="G93" s="64"/>
      <c r="H93" s="64"/>
      <c r="I93" s="144"/>
    </row>
    <row r="94" spans="1:13" ht="30" customHeight="1">
      <c r="A94" s="7">
        <v>30</v>
      </c>
      <c r="B94" s="43"/>
      <c r="C94" s="634" t="s">
        <v>227</v>
      </c>
      <c r="D94" s="91"/>
      <c r="E94" s="91"/>
      <c r="F94" s="150"/>
      <c r="G94" s="64"/>
      <c r="H94" s="163"/>
      <c r="I94" s="144"/>
    </row>
    <row r="95" spans="1:13">
      <c r="A95" s="5"/>
      <c r="B95" s="5"/>
      <c r="C95" s="5"/>
      <c r="D95" s="5"/>
      <c r="E95" s="5"/>
      <c r="F95" s="5"/>
      <c r="G95" s="5"/>
      <c r="H95" s="5"/>
      <c r="I95" s="5"/>
    </row>
    <row r="96" spans="1:13" ht="15.75" thickBot="1">
      <c r="F96" s="256"/>
      <c r="G96" s="256"/>
      <c r="H96" s="256"/>
      <c r="I96" s="256"/>
      <c r="J96" s="256"/>
      <c r="K96" s="256"/>
      <c r="L96" s="256"/>
      <c r="M96" s="256"/>
    </row>
    <row r="97" spans="1:12" ht="15.75" thickTop="1">
      <c r="A97" s="224"/>
      <c r="B97" s="224"/>
      <c r="C97" s="224"/>
      <c r="D97" s="224"/>
      <c r="E97" s="224"/>
      <c r="G97" s="288"/>
    </row>
    <row r="98" spans="1:12">
      <c r="A98" s="1201" t="s">
        <v>253</v>
      </c>
      <c r="B98" s="1201"/>
      <c r="C98" s="1201"/>
      <c r="D98" s="1201"/>
      <c r="E98" s="1201"/>
      <c r="G98" s="215"/>
    </row>
    <row r="99" spans="1:12">
      <c r="G99" s="215"/>
    </row>
    <row r="100" spans="1:12">
      <c r="A100" s="177"/>
      <c r="B100" s="177"/>
      <c r="C100" s="178">
        <v>2019</v>
      </c>
      <c r="D100" s="179">
        <v>2022</v>
      </c>
      <c r="E100" s="180">
        <v>2023</v>
      </c>
      <c r="F100" s="265">
        <v>2024</v>
      </c>
      <c r="G100" s="218">
        <v>2025</v>
      </c>
      <c r="H100" s="301" t="s">
        <v>116</v>
      </c>
      <c r="I100" s="302"/>
    </row>
    <row r="101" spans="1:12">
      <c r="A101" t="s">
        <v>118</v>
      </c>
      <c r="C101" s="259">
        <v>4623.96</v>
      </c>
      <c r="D101" s="183">
        <v>2619.83</v>
      </c>
      <c r="E101" s="184">
        <v>1062.81</v>
      </c>
      <c r="F101" s="277">
        <v>1182.8499999999999</v>
      </c>
      <c r="G101" s="487">
        <v>2821.07</v>
      </c>
      <c r="H101" s="302"/>
      <c r="I101" s="301" t="s">
        <v>254</v>
      </c>
    </row>
    <row r="102" spans="1:12">
      <c r="A102" t="s">
        <v>119</v>
      </c>
      <c r="C102" s="259">
        <v>0</v>
      </c>
      <c r="D102" s="183">
        <v>7285.04</v>
      </c>
      <c r="E102" s="184">
        <v>61.98</v>
      </c>
      <c r="F102" s="277">
        <v>134.5</v>
      </c>
      <c r="G102" s="487">
        <v>640.5</v>
      </c>
    </row>
    <row r="103" spans="1:12">
      <c r="A103" t="s">
        <v>121</v>
      </c>
      <c r="C103" s="259">
        <v>17660</v>
      </c>
      <c r="D103" s="183">
        <v>9163.18</v>
      </c>
      <c r="E103" s="184">
        <v>13277.09</v>
      </c>
      <c r="F103" s="277">
        <v>11668.97</v>
      </c>
      <c r="G103" s="487">
        <v>0</v>
      </c>
    </row>
    <row r="104" spans="1:12">
      <c r="A104" t="s">
        <v>123</v>
      </c>
      <c r="C104" s="259">
        <v>9890.66</v>
      </c>
      <c r="D104" s="183">
        <v>2564.1799999999998</v>
      </c>
      <c r="E104" s="184">
        <v>8209.64</v>
      </c>
      <c r="F104" s="277">
        <v>5508.55</v>
      </c>
      <c r="G104" s="487">
        <v>3736.36</v>
      </c>
      <c r="H104" s="186" t="s">
        <v>120</v>
      </c>
      <c r="I104" s="268">
        <v>207374.61</v>
      </c>
      <c r="J104" s="269"/>
      <c r="K104" s="188"/>
    </row>
    <row r="105" spans="1:12">
      <c r="A105" t="s">
        <v>125</v>
      </c>
      <c r="C105" s="259">
        <v>3176.1869999999999</v>
      </c>
      <c r="D105" s="183">
        <v>6826.64</v>
      </c>
      <c r="E105" s="184">
        <v>8869.15</v>
      </c>
      <c r="F105" s="277">
        <v>9330.7099999999991</v>
      </c>
      <c r="G105" s="487">
        <v>1791.82</v>
      </c>
      <c r="H105" s="189" t="s">
        <v>122</v>
      </c>
      <c r="I105" s="270">
        <v>-139.02000000000001</v>
      </c>
      <c r="J105" s="271"/>
      <c r="K105" s="188"/>
    </row>
    <row r="106" spans="1:12">
      <c r="A106" t="s">
        <v>127</v>
      </c>
      <c r="C106" s="259">
        <v>2151.96</v>
      </c>
      <c r="D106" s="183">
        <v>2066.0700000000002</v>
      </c>
      <c r="E106" s="184">
        <v>499.09</v>
      </c>
      <c r="F106" s="277">
        <v>736.27</v>
      </c>
      <c r="G106" s="487">
        <v>1351.36</v>
      </c>
      <c r="H106" s="191" t="s">
        <v>124</v>
      </c>
      <c r="I106" s="272">
        <v>-88.69</v>
      </c>
      <c r="J106" s="232"/>
    </row>
    <row r="107" spans="1:12">
      <c r="A107" t="s">
        <v>129</v>
      </c>
      <c r="C107" s="259">
        <v>4712.76</v>
      </c>
      <c r="D107" s="183">
        <v>1387.4</v>
      </c>
      <c r="E107" s="184">
        <v>1060.56</v>
      </c>
      <c r="F107" s="277">
        <v>1919.18</v>
      </c>
      <c r="G107" s="487">
        <v>1304.0999999999999</v>
      </c>
      <c r="H107" s="186" t="s">
        <v>126</v>
      </c>
      <c r="I107" s="268">
        <v>230810.3</v>
      </c>
      <c r="J107" s="273"/>
      <c r="K107" s="193"/>
    </row>
    <row r="108" spans="1:12">
      <c r="A108" t="s">
        <v>131</v>
      </c>
      <c r="C108" s="259">
        <v>33642.18</v>
      </c>
      <c r="D108" s="183">
        <v>31077.16</v>
      </c>
      <c r="E108" s="184">
        <v>51339.45</v>
      </c>
      <c r="F108" s="277">
        <v>38492.28</v>
      </c>
      <c r="G108" s="487">
        <v>36162.83</v>
      </c>
      <c r="H108" s="194" t="s">
        <v>128</v>
      </c>
      <c r="I108" s="234">
        <v>258008.25</v>
      </c>
    </row>
    <row r="109" spans="1:12">
      <c r="A109" t="s">
        <v>133</v>
      </c>
      <c r="C109" s="259">
        <v>1647.73</v>
      </c>
      <c r="D109" s="183">
        <v>1509.09</v>
      </c>
      <c r="E109" s="184">
        <v>1778.64</v>
      </c>
      <c r="F109" s="277">
        <v>1958.37</v>
      </c>
      <c r="G109" s="487">
        <v>1928.01</v>
      </c>
      <c r="H109" s="196" t="s">
        <v>130</v>
      </c>
      <c r="I109" s="274">
        <v>212919.29</v>
      </c>
      <c r="L109" s="212"/>
    </row>
    <row r="110" spans="1:12">
      <c r="A110" t="s">
        <v>8</v>
      </c>
      <c r="C110" s="259">
        <v>4353.1899999999996</v>
      </c>
      <c r="D110" s="183">
        <v>1760</v>
      </c>
      <c r="E110" s="184">
        <v>2064.91</v>
      </c>
      <c r="F110" s="277">
        <v>3081.87</v>
      </c>
      <c r="G110" s="487">
        <v>7386.99</v>
      </c>
      <c r="H110" s="253" t="s">
        <v>132</v>
      </c>
      <c r="I110" s="362">
        <v>306233.03999999998</v>
      </c>
    </row>
    <row r="111" spans="1:12" ht="15.75" thickBot="1">
      <c r="A111" s="177"/>
      <c r="B111" s="177"/>
      <c r="D111" s="200"/>
      <c r="E111" s="201"/>
      <c r="F111" s="278" t="s">
        <v>255</v>
      </c>
      <c r="G111" s="280"/>
    </row>
    <row r="112" spans="1:12" ht="16.5" thickTop="1" thickBot="1">
      <c r="B112" s="260" t="s">
        <v>137</v>
      </c>
      <c r="C112" s="261">
        <v>81858.62</v>
      </c>
      <c r="D112" s="203">
        <f>SUM(D101:D110)</f>
        <v>66258.59</v>
      </c>
      <c r="E112" s="204">
        <f>SUM(E101:E110)</f>
        <v>88223.319999999992</v>
      </c>
      <c r="F112" s="205">
        <f>SUM(F101:F110)</f>
        <v>74013.549999999988</v>
      </c>
      <c r="G112" s="279">
        <f>SUM(G101:G110)</f>
        <v>57123.040000000001</v>
      </c>
      <c r="H112" s="226"/>
      <c r="J112" s="198" t="s">
        <v>134</v>
      </c>
      <c r="K112" s="234">
        <f>I110-I104</f>
        <v>98858.43</v>
      </c>
    </row>
    <row r="113" spans="1:13" ht="15.75" thickTop="1">
      <c r="D113" s="206"/>
      <c r="H113" s="226"/>
      <c r="J113" s="198" t="s">
        <v>135</v>
      </c>
      <c r="K113" s="234">
        <f>I110-I105</f>
        <v>306372.06</v>
      </c>
    </row>
    <row r="114" spans="1:13">
      <c r="C114" s="239" t="s">
        <v>134</v>
      </c>
      <c r="D114" s="263">
        <f>G112-C112</f>
        <v>-24735.579999999994</v>
      </c>
      <c r="H114" s="226"/>
      <c r="J114" s="198" t="s">
        <v>136</v>
      </c>
      <c r="K114" s="234">
        <f>I110-I106</f>
        <v>306321.73</v>
      </c>
    </row>
    <row r="115" spans="1:13">
      <c r="C115" s="241" t="s">
        <v>138</v>
      </c>
      <c r="D115" s="262">
        <f>G112-D112</f>
        <v>-9135.5499999999956</v>
      </c>
      <c r="G115" s="215"/>
      <c r="J115" s="198" t="s">
        <v>138</v>
      </c>
      <c r="K115" s="195">
        <f>I110-I107</f>
        <v>75422.739999999991</v>
      </c>
    </row>
    <row r="116" spans="1:13">
      <c r="C116" s="240" t="s">
        <v>139</v>
      </c>
      <c r="D116" s="643">
        <f>G112-E112</f>
        <v>-31100.279999999992</v>
      </c>
      <c r="G116" s="215"/>
      <c r="I116" s="275"/>
      <c r="J116" s="198" t="s">
        <v>139</v>
      </c>
      <c r="K116" s="500">
        <f>I110-I108</f>
        <v>48224.789999999979</v>
      </c>
    </row>
    <row r="117" spans="1:13">
      <c r="C117" s="213" t="s">
        <v>140</v>
      </c>
      <c r="D117" s="264">
        <f>G112-F112</f>
        <v>-16890.509999999987</v>
      </c>
      <c r="G117" s="215"/>
      <c r="J117" s="212" t="s">
        <v>140</v>
      </c>
      <c r="K117" s="500">
        <f>I110-I109</f>
        <v>93313.749999999971</v>
      </c>
    </row>
    <row r="118" spans="1:13" ht="15.75" thickBot="1">
      <c r="A118" s="223"/>
      <c r="B118" s="223"/>
      <c r="C118" s="223"/>
      <c r="D118" s="223"/>
      <c r="E118" s="223"/>
      <c r="F118" s="223"/>
      <c r="G118" s="276"/>
      <c r="H118" s="257"/>
      <c r="I118" s="256"/>
      <c r="J118" s="256"/>
      <c r="K118" s="256"/>
      <c r="L118" s="256"/>
      <c r="M118" s="256"/>
    </row>
    <row r="119" spans="1:13" ht="15.75" thickTop="1">
      <c r="G119" s="289"/>
    </row>
    <row r="120" spans="1:13">
      <c r="A120" s="1201" t="s">
        <v>256</v>
      </c>
      <c r="B120" s="1201"/>
      <c r="C120" s="1201"/>
      <c r="D120" s="1201"/>
      <c r="E120" s="1201"/>
      <c r="G120" s="215"/>
    </row>
    <row r="121" spans="1:13">
      <c r="G121" s="215"/>
    </row>
    <row r="122" spans="1:13">
      <c r="A122" s="177"/>
      <c r="B122" s="177"/>
      <c r="C122" s="178">
        <v>2019</v>
      </c>
      <c r="D122" s="179">
        <v>2022</v>
      </c>
      <c r="E122" s="180">
        <v>2023</v>
      </c>
      <c r="F122" s="265">
        <v>2024</v>
      </c>
      <c r="G122" s="218">
        <v>2025</v>
      </c>
      <c r="H122" s="303" t="s">
        <v>116</v>
      </c>
      <c r="I122" s="304"/>
    </row>
    <row r="123" spans="1:13">
      <c r="A123" t="s">
        <v>118</v>
      </c>
      <c r="C123" s="259">
        <v>2994.11</v>
      </c>
      <c r="D123" s="183">
        <v>3648.76</v>
      </c>
      <c r="E123" s="184">
        <v>3041.32</v>
      </c>
      <c r="F123" s="277">
        <v>5208.68</v>
      </c>
      <c r="G123" s="487">
        <v>3697.73</v>
      </c>
      <c r="H123" s="305"/>
      <c r="I123" s="306" t="s">
        <v>257</v>
      </c>
    </row>
    <row r="124" spans="1:13">
      <c r="A124" t="s">
        <v>119</v>
      </c>
      <c r="C124" s="259">
        <v>429.75</v>
      </c>
      <c r="D124" s="183">
        <v>2891.16</v>
      </c>
      <c r="E124" s="184">
        <v>0</v>
      </c>
      <c r="F124" s="277">
        <v>247.93</v>
      </c>
      <c r="G124" s="487">
        <v>1227.48</v>
      </c>
      <c r="H124" s="226"/>
    </row>
    <row r="125" spans="1:13">
      <c r="A125" t="s">
        <v>121</v>
      </c>
      <c r="C125" s="259">
        <v>18839.09</v>
      </c>
      <c r="D125" s="183">
        <v>10209.549999999999</v>
      </c>
      <c r="E125" s="184">
        <v>14425.91</v>
      </c>
      <c r="F125" s="277">
        <v>13882.35</v>
      </c>
      <c r="G125" s="487">
        <v>371.09</v>
      </c>
      <c r="H125" s="226"/>
    </row>
    <row r="126" spans="1:13">
      <c r="A126" t="s">
        <v>123</v>
      </c>
      <c r="C126" s="259">
        <v>12942.73</v>
      </c>
      <c r="D126" s="183">
        <v>5320.91</v>
      </c>
      <c r="E126" s="184">
        <v>11200</v>
      </c>
      <c r="F126" s="277">
        <v>9669.32</v>
      </c>
      <c r="G126" s="487">
        <v>11430.23</v>
      </c>
      <c r="H126" s="246" t="s">
        <v>120</v>
      </c>
      <c r="I126" s="187">
        <v>250953</v>
      </c>
      <c r="J126" s="273"/>
      <c r="K126" s="188"/>
    </row>
    <row r="127" spans="1:13">
      <c r="A127" t="s">
        <v>125</v>
      </c>
      <c r="C127" s="259">
        <v>4396.5</v>
      </c>
      <c r="D127" s="183">
        <v>11407.08</v>
      </c>
      <c r="E127" s="184">
        <v>6954.12</v>
      </c>
      <c r="F127" s="277">
        <v>19412.37</v>
      </c>
      <c r="G127" s="487">
        <v>6861.64</v>
      </c>
      <c r="H127" s="247" t="s">
        <v>122</v>
      </c>
      <c r="I127" s="190">
        <v>-86.82</v>
      </c>
      <c r="J127" s="271"/>
      <c r="K127" s="188"/>
    </row>
    <row r="128" spans="1:13">
      <c r="A128" t="s">
        <v>127</v>
      </c>
      <c r="C128" s="259">
        <v>898.55</v>
      </c>
      <c r="D128" s="183">
        <v>1015</v>
      </c>
      <c r="E128" s="184">
        <v>6548.18</v>
      </c>
      <c r="F128" s="277">
        <v>3437.27</v>
      </c>
      <c r="G128" s="487">
        <v>2354.73</v>
      </c>
      <c r="H128" s="248" t="s">
        <v>124</v>
      </c>
      <c r="I128" s="192">
        <v>25315.87</v>
      </c>
      <c r="J128" s="232"/>
    </row>
    <row r="129" spans="1:13">
      <c r="A129" t="s">
        <v>129</v>
      </c>
      <c r="C129" s="259">
        <v>3867.83</v>
      </c>
      <c r="D129" s="183">
        <v>1349.75</v>
      </c>
      <c r="E129" s="184">
        <v>1406.67</v>
      </c>
      <c r="F129" s="277">
        <v>1276.8699999999999</v>
      </c>
      <c r="G129" s="487">
        <v>921.88</v>
      </c>
      <c r="H129" s="246" t="s">
        <v>126</v>
      </c>
      <c r="I129" s="187">
        <v>211881.72</v>
      </c>
      <c r="J129" s="273"/>
      <c r="K129" s="193"/>
    </row>
    <row r="130" spans="1:13">
      <c r="A130" t="s">
        <v>131</v>
      </c>
      <c r="C130" s="259">
        <v>36730.080000000002</v>
      </c>
      <c r="D130" s="183">
        <v>32027.09</v>
      </c>
      <c r="E130" s="184">
        <v>51088.37</v>
      </c>
      <c r="F130" s="277">
        <v>52993.440000000002</v>
      </c>
      <c r="G130" s="487">
        <v>42038.51</v>
      </c>
      <c r="H130" s="249" t="s">
        <v>128</v>
      </c>
      <c r="I130" s="195">
        <v>311334.7</v>
      </c>
    </row>
    <row r="131" spans="1:13">
      <c r="A131" t="s">
        <v>133</v>
      </c>
      <c r="C131" s="259">
        <v>1545.45</v>
      </c>
      <c r="D131" s="183">
        <v>1462.73</v>
      </c>
      <c r="E131" s="184">
        <v>1904.55</v>
      </c>
      <c r="F131" s="277">
        <v>2048.56</v>
      </c>
      <c r="G131" s="487">
        <v>1735.91</v>
      </c>
      <c r="H131" s="196" t="s">
        <v>130</v>
      </c>
      <c r="I131" s="197">
        <v>434379.94</v>
      </c>
    </row>
    <row r="132" spans="1:13">
      <c r="A132" t="s">
        <v>8</v>
      </c>
      <c r="C132" s="259">
        <v>4139.55</v>
      </c>
      <c r="D132" s="183">
        <v>2003.23</v>
      </c>
      <c r="E132" s="184">
        <v>3559.09</v>
      </c>
      <c r="F132" s="277">
        <v>3149.36</v>
      </c>
      <c r="G132" s="487">
        <v>5214.5</v>
      </c>
      <c r="H132" s="253" t="s">
        <v>132</v>
      </c>
      <c r="I132" s="362">
        <v>378689.85</v>
      </c>
    </row>
    <row r="133" spans="1:13" ht="15.75" thickBot="1">
      <c r="A133" s="177"/>
      <c r="B133" s="177"/>
      <c r="D133" s="200"/>
      <c r="E133" s="201"/>
      <c r="F133" s="278"/>
      <c r="G133" s="276"/>
      <c r="H133" s="226"/>
    </row>
    <row r="134" spans="1:13" ht="16.5" thickTop="1" thickBot="1">
      <c r="B134" s="281" t="s">
        <v>137</v>
      </c>
      <c r="C134" s="261">
        <v>86783.64</v>
      </c>
      <c r="D134" s="203">
        <f>SUM(D123:D132)</f>
        <v>71335.259999999995</v>
      </c>
      <c r="E134" s="204">
        <f>SUM(E123:E132)</f>
        <v>100128.21</v>
      </c>
      <c r="F134" s="205">
        <f>SUM(F123:F132)</f>
        <v>111326.15</v>
      </c>
      <c r="G134" s="205">
        <f>SUM(G123:G132)</f>
        <v>75853.700000000012</v>
      </c>
      <c r="H134" s="226"/>
      <c r="I134" s="275"/>
      <c r="J134" s="198" t="s">
        <v>134</v>
      </c>
      <c r="K134" s="562">
        <f>I132-I126</f>
        <v>127736.84999999998</v>
      </c>
    </row>
    <row r="135" spans="1:13" ht="15.75" thickTop="1">
      <c r="D135" s="206"/>
      <c r="G135" s="289"/>
      <c r="I135" s="275"/>
      <c r="J135" s="198" t="s">
        <v>135</v>
      </c>
      <c r="K135" s="562">
        <f>I132-I127</f>
        <v>378776.67</v>
      </c>
    </row>
    <row r="136" spans="1:13">
      <c r="C136" s="239" t="s">
        <v>134</v>
      </c>
      <c r="D136" s="282">
        <f>G134-C134</f>
        <v>-10929.939999999988</v>
      </c>
      <c r="G136" s="215"/>
      <c r="I136" s="275"/>
      <c r="J136" s="198" t="s">
        <v>136</v>
      </c>
      <c r="K136" s="562">
        <f>I132-I128</f>
        <v>353373.98</v>
      </c>
    </row>
    <row r="137" spans="1:13">
      <c r="C137" s="241" t="s">
        <v>138</v>
      </c>
      <c r="D137" s="262">
        <f>G134-D134</f>
        <v>4518.4400000000169</v>
      </c>
      <c r="G137" s="215"/>
      <c r="I137" s="275"/>
      <c r="J137" s="198" t="s">
        <v>138</v>
      </c>
      <c r="K137" s="562">
        <f>I132-I129</f>
        <v>166808.12999999998</v>
      </c>
    </row>
    <row r="138" spans="1:13">
      <c r="C138" s="240" t="s">
        <v>139</v>
      </c>
      <c r="D138" s="644">
        <f>G134-E134</f>
        <v>-24274.509999999995</v>
      </c>
      <c r="G138" s="215"/>
      <c r="I138" s="275"/>
      <c r="J138" s="198" t="s">
        <v>139</v>
      </c>
      <c r="K138" s="561">
        <f>I132-I130</f>
        <v>67355.149999999965</v>
      </c>
    </row>
    <row r="139" spans="1:13">
      <c r="C139" s="213" t="s">
        <v>140</v>
      </c>
      <c r="D139" s="283">
        <f>G134-F134</f>
        <v>-35472.449999999983</v>
      </c>
      <c r="G139" s="215"/>
      <c r="J139" s="212" t="s">
        <v>140</v>
      </c>
      <c r="K139" s="494">
        <f>I132-I131</f>
        <v>-55690.090000000026</v>
      </c>
    </row>
    <row r="140" spans="1:13" ht="15.75" thickBot="1">
      <c r="A140" s="256"/>
      <c r="B140" s="256"/>
      <c r="C140" s="256"/>
      <c r="D140" s="256"/>
      <c r="E140" s="256"/>
      <c r="F140" s="256"/>
      <c r="G140" s="290"/>
      <c r="H140" s="256"/>
      <c r="I140" s="256"/>
      <c r="J140" s="256"/>
      <c r="K140" s="256"/>
      <c r="L140" s="256"/>
      <c r="M140" s="256"/>
    </row>
    <row r="141" spans="1:13" ht="16.5" thickTop="1" thickBot="1">
      <c r="A141" s="256"/>
      <c r="B141" s="256"/>
      <c r="C141" s="256"/>
      <c r="D141" s="256"/>
      <c r="E141" s="256"/>
      <c r="F141" s="256"/>
      <c r="G141" s="256"/>
      <c r="H141" s="256"/>
      <c r="I141" s="256"/>
      <c r="J141" s="256"/>
      <c r="K141" s="256"/>
      <c r="L141" s="256"/>
      <c r="M141" s="256"/>
    </row>
    <row r="142" spans="1:13" ht="15.75" thickTop="1">
      <c r="G142" s="288"/>
    </row>
    <row r="143" spans="1:13">
      <c r="A143" s="1201" t="s">
        <v>258</v>
      </c>
      <c r="B143" s="1201"/>
      <c r="C143" s="1201"/>
      <c r="D143" s="1201"/>
      <c r="E143" s="1201"/>
      <c r="G143" s="215"/>
    </row>
    <row r="144" spans="1:13">
      <c r="G144" s="215"/>
    </row>
    <row r="145" spans="1:11">
      <c r="A145" s="177"/>
      <c r="B145" s="177"/>
      <c r="C145" s="178">
        <v>2019</v>
      </c>
      <c r="D145" s="179">
        <v>2022</v>
      </c>
      <c r="E145" s="180">
        <v>2023</v>
      </c>
      <c r="F145" s="265">
        <v>2024</v>
      </c>
      <c r="G145" s="265">
        <v>2025</v>
      </c>
      <c r="H145" s="307" t="s">
        <v>116</v>
      </c>
      <c r="I145" s="308"/>
    </row>
    <row r="146" spans="1:11">
      <c r="A146" t="s">
        <v>118</v>
      </c>
      <c r="C146" s="182">
        <v>4875.62</v>
      </c>
      <c r="D146" s="183">
        <v>3358.26</v>
      </c>
      <c r="E146" s="184">
        <v>6188.84</v>
      </c>
      <c r="F146" s="277">
        <v>4990.5</v>
      </c>
      <c r="G146" s="488">
        <v>5793.8</v>
      </c>
      <c r="H146" s="309"/>
      <c r="I146" s="310" t="s">
        <v>259</v>
      </c>
    </row>
    <row r="147" spans="1:11">
      <c r="A147" t="s">
        <v>119</v>
      </c>
      <c r="C147" s="182">
        <v>896.69</v>
      </c>
      <c r="D147" s="183">
        <v>99.17</v>
      </c>
      <c r="E147" s="184">
        <v>702.48</v>
      </c>
      <c r="F147" s="277">
        <v>1131.82</v>
      </c>
      <c r="G147" s="488">
        <v>958.68</v>
      </c>
      <c r="H147" s="226"/>
    </row>
    <row r="148" spans="1:11">
      <c r="A148" t="s">
        <v>121</v>
      </c>
      <c r="C148" s="182">
        <v>22642.73</v>
      </c>
      <c r="D148" s="183">
        <v>8940.82</v>
      </c>
      <c r="E148" s="184">
        <v>11300.81</v>
      </c>
      <c r="F148" s="277">
        <v>10923.8</v>
      </c>
      <c r="G148" s="488">
        <v>0</v>
      </c>
      <c r="H148" s="226"/>
    </row>
    <row r="149" spans="1:11">
      <c r="A149" t="s">
        <v>123</v>
      </c>
      <c r="C149" s="182">
        <v>17647.73</v>
      </c>
      <c r="D149" s="183">
        <v>6008</v>
      </c>
      <c r="E149" s="184">
        <v>11932.64</v>
      </c>
      <c r="F149" s="277">
        <v>21918.18</v>
      </c>
      <c r="G149" s="488">
        <v>7182.95</v>
      </c>
      <c r="H149" s="246" t="s">
        <v>120</v>
      </c>
      <c r="I149" s="187">
        <v>248371.84</v>
      </c>
      <c r="J149" s="273"/>
      <c r="K149" s="188"/>
    </row>
    <row r="150" spans="1:11">
      <c r="A150" t="s">
        <v>125</v>
      </c>
      <c r="C150" s="182">
        <v>5242</v>
      </c>
      <c r="D150" s="183">
        <v>19401.55</v>
      </c>
      <c r="E150" s="184">
        <v>13733.42</v>
      </c>
      <c r="F150" s="277">
        <v>7222.53</v>
      </c>
      <c r="G150" s="488">
        <v>16402.23</v>
      </c>
      <c r="H150" s="247" t="s">
        <v>122</v>
      </c>
      <c r="I150" s="190">
        <v>-73.66</v>
      </c>
      <c r="J150" s="271"/>
      <c r="K150" s="188"/>
    </row>
    <row r="151" spans="1:11">
      <c r="A151" t="s">
        <v>127</v>
      </c>
      <c r="C151" s="182">
        <v>2489.0500000000002</v>
      </c>
      <c r="D151" s="183">
        <v>1024.55</v>
      </c>
      <c r="E151" s="184">
        <v>1725.91</v>
      </c>
      <c r="F151" s="277">
        <v>1094.8</v>
      </c>
      <c r="G151" s="488">
        <v>455.14</v>
      </c>
      <c r="H151" s="248" t="s">
        <v>124</v>
      </c>
      <c r="I151" s="192">
        <v>129243.96</v>
      </c>
      <c r="J151" s="232"/>
    </row>
    <row r="152" spans="1:11">
      <c r="A152" t="s">
        <v>129</v>
      </c>
      <c r="C152" s="182">
        <v>3195.75</v>
      </c>
      <c r="D152" s="183">
        <v>1595.08</v>
      </c>
      <c r="E152" s="184">
        <v>1492.09</v>
      </c>
      <c r="F152" s="277">
        <v>1800.8</v>
      </c>
      <c r="G152" s="488">
        <v>1600.48</v>
      </c>
      <c r="H152" s="246" t="s">
        <v>126</v>
      </c>
      <c r="I152" s="187">
        <v>268725.53999999998</v>
      </c>
      <c r="J152" s="273"/>
      <c r="K152" s="193"/>
    </row>
    <row r="153" spans="1:11">
      <c r="A153" t="s">
        <v>131</v>
      </c>
      <c r="C153" s="182">
        <v>36469.019999999997</v>
      </c>
      <c r="D153" s="183">
        <v>36899.26</v>
      </c>
      <c r="E153" s="184">
        <v>53887.65</v>
      </c>
      <c r="F153" s="277">
        <v>46491.03</v>
      </c>
      <c r="G153" s="488">
        <v>42978.720000000001</v>
      </c>
      <c r="H153" s="249" t="s">
        <v>128</v>
      </c>
      <c r="I153" s="195">
        <v>373140.06</v>
      </c>
    </row>
    <row r="154" spans="1:11">
      <c r="A154" t="s">
        <v>133</v>
      </c>
      <c r="C154" s="182">
        <v>1738.64</v>
      </c>
      <c r="D154" s="183">
        <v>1965.91</v>
      </c>
      <c r="E154" s="184">
        <v>2090.91</v>
      </c>
      <c r="F154" s="277">
        <v>2054.0100000000002</v>
      </c>
      <c r="G154" s="487">
        <v>1465.69</v>
      </c>
      <c r="H154" s="196" t="s">
        <v>130</v>
      </c>
      <c r="I154" s="197">
        <v>400695.99</v>
      </c>
    </row>
    <row r="155" spans="1:11">
      <c r="A155" t="s">
        <v>8</v>
      </c>
      <c r="C155" s="182">
        <v>4837.7299999999996</v>
      </c>
      <c r="D155" s="183">
        <v>1674.09</v>
      </c>
      <c r="E155" s="184">
        <v>1881</v>
      </c>
      <c r="F155" s="277">
        <v>1591.69</v>
      </c>
      <c r="G155" s="488">
        <v>6168.24</v>
      </c>
      <c r="H155" s="253" t="s">
        <v>132</v>
      </c>
      <c r="I155" s="362">
        <v>389446.19</v>
      </c>
    </row>
    <row r="156" spans="1:11" ht="15.75" thickBot="1">
      <c r="A156" s="177"/>
      <c r="B156" s="177"/>
      <c r="D156" s="200"/>
      <c r="E156" s="201"/>
      <c r="F156" s="278"/>
      <c r="H156" s="226"/>
    </row>
    <row r="157" spans="1:11" ht="16.5" thickTop="1" thickBot="1">
      <c r="B157" s="281" t="s">
        <v>137</v>
      </c>
      <c r="C157" s="284">
        <v>100034.96</v>
      </c>
      <c r="D157" s="203">
        <f>SUM(D146:D155)</f>
        <v>80966.69</v>
      </c>
      <c r="E157" s="204">
        <f>SUM(E146:E155)</f>
        <v>104935.75</v>
      </c>
      <c r="F157" s="286">
        <f>SUM(F146:F155)</f>
        <v>99219.16</v>
      </c>
      <c r="G157" s="286">
        <f>SUM(G146:G155)</f>
        <v>83005.930000000008</v>
      </c>
      <c r="H157" s="226"/>
    </row>
    <row r="158" spans="1:11" ht="15.75" thickTop="1">
      <c r="D158" s="206"/>
      <c r="G158" s="289"/>
    </row>
    <row r="159" spans="1:11">
      <c r="C159" s="239" t="s">
        <v>134</v>
      </c>
      <c r="D159" s="285">
        <f>G157-C157</f>
        <v>-17029.03</v>
      </c>
      <c r="G159" s="215"/>
    </row>
    <row r="160" spans="1:11">
      <c r="C160" s="241" t="s">
        <v>138</v>
      </c>
      <c r="D160" s="661">
        <f>G157-D157</f>
        <v>2039.2400000000052</v>
      </c>
      <c r="G160" s="215"/>
      <c r="I160" s="275"/>
      <c r="J160" s="198" t="s">
        <v>134</v>
      </c>
      <c r="K160" s="287">
        <f>I155-I149</f>
        <v>141074.35</v>
      </c>
    </row>
    <row r="161" spans="1:13">
      <c r="C161" s="240" t="s">
        <v>139</v>
      </c>
      <c r="D161" s="643">
        <f>G157-E157</f>
        <v>-21929.819999999992</v>
      </c>
      <c r="G161" s="215"/>
      <c r="I161" s="275"/>
      <c r="J161" s="198" t="s">
        <v>135</v>
      </c>
      <c r="K161" s="287">
        <f>I155-I150</f>
        <v>389519.85</v>
      </c>
    </row>
    <row r="162" spans="1:13">
      <c r="C162" s="213" t="s">
        <v>140</v>
      </c>
      <c r="D162" s="264">
        <f>G157-F157</f>
        <v>-16213.229999999996</v>
      </c>
      <c r="G162" s="215"/>
      <c r="I162" s="275"/>
      <c r="J162" s="198" t="s">
        <v>136</v>
      </c>
      <c r="K162" s="287">
        <f>I155-I151</f>
        <v>260202.22999999998</v>
      </c>
    </row>
    <row r="163" spans="1:13">
      <c r="G163" s="215"/>
      <c r="I163" s="275"/>
      <c r="J163" s="198" t="s">
        <v>138</v>
      </c>
      <c r="K163" s="287">
        <f>I155-I152</f>
        <v>120720.65000000002</v>
      </c>
    </row>
    <row r="164" spans="1:13">
      <c r="G164" s="215"/>
      <c r="I164" s="275"/>
      <c r="J164" s="198" t="s">
        <v>139</v>
      </c>
      <c r="K164" s="287">
        <f>I155-I153</f>
        <v>16306.130000000005</v>
      </c>
    </row>
    <row r="165" spans="1:13">
      <c r="G165" s="215"/>
      <c r="J165" s="212" t="s">
        <v>140</v>
      </c>
      <c r="K165" s="287">
        <f>I155-I154</f>
        <v>-11249.799999999988</v>
      </c>
    </row>
    <row r="166" spans="1:13" ht="15.75" thickBot="1">
      <c r="A166" s="256"/>
      <c r="B166" s="256"/>
      <c r="C166" s="256"/>
      <c r="D166" s="256"/>
      <c r="E166" s="256"/>
      <c r="F166" s="256"/>
      <c r="G166" s="290"/>
      <c r="H166" s="256"/>
      <c r="I166" s="256"/>
      <c r="J166" s="256"/>
      <c r="K166" s="256"/>
      <c r="L166" s="256"/>
      <c r="M166" s="256"/>
    </row>
    <row r="167" spans="1:13" ht="15.75" thickTop="1"/>
  </sheetData>
  <mergeCells count="3">
    <mergeCell ref="A98:E98"/>
    <mergeCell ref="A120:E120"/>
    <mergeCell ref="A143:E143"/>
  </mergeCells>
  <phoneticPr fontId="13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3E9FF-07A5-4FF0-B2A8-3B47C2703B4E}">
  <sheetPr>
    <pageSetUpPr fitToPage="1"/>
  </sheetPr>
  <dimension ref="A1:L166"/>
  <sheetViews>
    <sheetView topLeftCell="A32" workbookViewId="0">
      <selection activeCell="O156" sqref="O156"/>
    </sheetView>
  </sheetViews>
  <sheetFormatPr defaultColWidth="9.140625" defaultRowHeight="15"/>
  <cols>
    <col min="1" max="1" width="17.42578125" customWidth="1"/>
    <col min="2" max="2" width="26.140625" customWidth="1"/>
    <col min="3" max="3" width="28.28515625" customWidth="1"/>
    <col min="4" max="4" width="39.85546875" customWidth="1"/>
    <col min="5" max="5" width="32.7109375" customWidth="1"/>
    <col min="6" max="6" width="36.140625" customWidth="1"/>
    <col min="7" max="7" width="32.28515625" customWidth="1"/>
    <col min="8" max="8" width="28.140625" customWidth="1"/>
    <col min="9" max="9" width="29.42578125" customWidth="1"/>
    <col min="10" max="10" width="13.7109375" bestFit="1" customWidth="1"/>
  </cols>
  <sheetData>
    <row r="1" spans="1:9" ht="30" customHeight="1">
      <c r="A1" s="657" t="s">
        <v>260</v>
      </c>
      <c r="B1" s="658" t="s">
        <v>1</v>
      </c>
      <c r="C1" s="658" t="s">
        <v>2</v>
      </c>
      <c r="D1" s="658" t="s">
        <v>3</v>
      </c>
      <c r="E1" s="658" t="s">
        <v>4</v>
      </c>
      <c r="F1" s="658" t="s">
        <v>5</v>
      </c>
      <c r="G1" s="658" t="s">
        <v>6</v>
      </c>
      <c r="H1" s="658" t="s">
        <v>7</v>
      </c>
      <c r="I1" s="659" t="s">
        <v>8</v>
      </c>
    </row>
    <row r="2" spans="1:9" ht="30" customHeight="1">
      <c r="A2" s="653">
        <v>1</v>
      </c>
      <c r="B2" s="8" t="s">
        <v>9</v>
      </c>
      <c r="C2" s="8" t="s">
        <v>9</v>
      </c>
      <c r="D2" s="9" t="s">
        <v>9</v>
      </c>
      <c r="E2" s="8" t="s">
        <v>9</v>
      </c>
      <c r="F2" s="8" t="s">
        <v>9</v>
      </c>
      <c r="G2" s="10" t="s">
        <v>9</v>
      </c>
      <c r="H2" s="163"/>
      <c r="I2" s="11" t="s">
        <v>9</v>
      </c>
    </row>
    <row r="3" spans="1:9" ht="30" customHeight="1">
      <c r="A3" s="654">
        <v>2</v>
      </c>
      <c r="B3" s="8" t="s">
        <v>9</v>
      </c>
      <c r="C3" s="8" t="s">
        <v>9</v>
      </c>
      <c r="D3" s="9" t="s">
        <v>9</v>
      </c>
      <c r="E3" s="8" t="s">
        <v>9</v>
      </c>
      <c r="F3" s="8" t="s">
        <v>9</v>
      </c>
      <c r="G3" s="13" t="s">
        <v>9</v>
      </c>
      <c r="H3" s="336" t="s">
        <v>261</v>
      </c>
      <c r="I3" s="15" t="s">
        <v>9</v>
      </c>
    </row>
    <row r="4" spans="1:9" ht="30" customHeight="1">
      <c r="A4" s="655">
        <v>3</v>
      </c>
      <c r="B4" s="666"/>
      <c r="C4" s="667" t="s">
        <v>262</v>
      </c>
      <c r="D4" s="9" t="s">
        <v>9</v>
      </c>
      <c r="E4" s="8" t="s">
        <v>9</v>
      </c>
      <c r="F4" s="8" t="s">
        <v>9</v>
      </c>
      <c r="G4" s="17" t="s">
        <v>9</v>
      </c>
      <c r="H4" s="163"/>
      <c r="I4" s="7" t="s">
        <v>9</v>
      </c>
    </row>
    <row r="5" spans="1:9" ht="30" customHeight="1">
      <c r="A5" s="655">
        <v>4</v>
      </c>
      <c r="B5" s="8" t="s">
        <v>9</v>
      </c>
      <c r="C5" s="19" t="s">
        <v>9</v>
      </c>
      <c r="D5" s="9" t="s">
        <v>9</v>
      </c>
      <c r="E5" s="8" t="s">
        <v>9</v>
      </c>
      <c r="F5" s="9" t="s">
        <v>9</v>
      </c>
      <c r="G5" s="17" t="s">
        <v>9</v>
      </c>
      <c r="H5" s="163"/>
      <c r="I5" s="7" t="s">
        <v>9</v>
      </c>
    </row>
    <row r="6" spans="1:9" ht="30" customHeight="1">
      <c r="A6" s="655">
        <v>5</v>
      </c>
      <c r="B6" s="8" t="s">
        <v>9</v>
      </c>
      <c r="C6" s="8" t="s">
        <v>9</v>
      </c>
      <c r="D6" s="9" t="s">
        <v>9</v>
      </c>
      <c r="E6" s="8" t="s">
        <v>9</v>
      </c>
      <c r="F6" s="8" t="s">
        <v>9</v>
      </c>
      <c r="G6" s="8" t="s">
        <v>9</v>
      </c>
      <c r="H6" s="163"/>
      <c r="I6" s="7" t="s">
        <v>9</v>
      </c>
    </row>
    <row r="7" spans="1:9" ht="30" customHeight="1">
      <c r="A7" s="653">
        <v>6</v>
      </c>
      <c r="B7" s="10" t="s">
        <v>9</v>
      </c>
      <c r="C7" s="22" t="s">
        <v>9</v>
      </c>
      <c r="D7" s="22" t="s">
        <v>9</v>
      </c>
      <c r="E7" s="10" t="s">
        <v>9</v>
      </c>
      <c r="F7" s="22" t="s">
        <v>9</v>
      </c>
      <c r="G7" s="10" t="s">
        <v>9</v>
      </c>
      <c r="H7" s="163"/>
      <c r="I7" s="11" t="s">
        <v>9</v>
      </c>
    </row>
    <row r="8" spans="1:9" ht="30" customHeight="1">
      <c r="A8" s="654">
        <v>7</v>
      </c>
      <c r="B8" s="13" t="s">
        <v>9</v>
      </c>
      <c r="C8" s="13" t="s">
        <v>9</v>
      </c>
      <c r="D8" s="13" t="s">
        <v>9</v>
      </c>
      <c r="E8" s="24" t="s">
        <v>9</v>
      </c>
      <c r="F8" s="24" t="s">
        <v>9</v>
      </c>
      <c r="G8" s="25" t="s">
        <v>9</v>
      </c>
      <c r="H8" s="26" t="s">
        <v>9</v>
      </c>
      <c r="I8" s="15" t="s">
        <v>9</v>
      </c>
    </row>
    <row r="9" spans="1:9" ht="30" customHeight="1">
      <c r="A9" s="653">
        <v>8</v>
      </c>
      <c r="B9" s="27" t="s">
        <v>9</v>
      </c>
      <c r="C9" s="27" t="s">
        <v>9</v>
      </c>
      <c r="D9" s="27" t="s">
        <v>9</v>
      </c>
      <c r="E9" s="10" t="s">
        <v>9</v>
      </c>
      <c r="F9" s="10" t="s">
        <v>9</v>
      </c>
      <c r="G9" s="10" t="s">
        <v>9</v>
      </c>
      <c r="H9" s="5"/>
      <c r="I9" s="11" t="s">
        <v>9</v>
      </c>
    </row>
    <row r="10" spans="1:9" ht="30" customHeight="1">
      <c r="A10" s="654">
        <v>9</v>
      </c>
      <c r="B10" s="669"/>
      <c r="C10" s="671" t="s">
        <v>263</v>
      </c>
      <c r="D10" s="25" t="s">
        <v>9</v>
      </c>
      <c r="E10" s="25" t="s">
        <v>9</v>
      </c>
      <c r="F10" s="25" t="s">
        <v>9</v>
      </c>
      <c r="G10" s="25" t="s">
        <v>9</v>
      </c>
      <c r="H10" s="26" t="s">
        <v>9</v>
      </c>
      <c r="I10" s="15" t="s">
        <v>9</v>
      </c>
    </row>
    <row r="11" spans="1:9" ht="30" customHeight="1">
      <c r="A11" s="653">
        <v>10</v>
      </c>
      <c r="B11" s="10" t="s">
        <v>9</v>
      </c>
      <c r="C11" s="10" t="s">
        <v>9</v>
      </c>
      <c r="D11" s="10" t="s">
        <v>9</v>
      </c>
      <c r="E11" s="28" t="s">
        <v>9</v>
      </c>
      <c r="F11" s="28" t="s">
        <v>9</v>
      </c>
      <c r="G11" s="29" t="s">
        <v>9</v>
      </c>
      <c r="H11" s="30" t="s">
        <v>9</v>
      </c>
      <c r="I11" s="11" t="s">
        <v>9</v>
      </c>
    </row>
    <row r="12" spans="1:9" ht="30" customHeight="1">
      <c r="A12" s="654">
        <v>11</v>
      </c>
      <c r="B12" s="25" t="s">
        <v>9</v>
      </c>
      <c r="C12" s="25" t="s">
        <v>9</v>
      </c>
      <c r="D12" s="31" t="s">
        <v>9</v>
      </c>
      <c r="E12" s="32" t="s">
        <v>9</v>
      </c>
      <c r="F12" s="33" t="s">
        <v>9</v>
      </c>
      <c r="G12" s="34" t="s">
        <v>9</v>
      </c>
      <c r="H12" s="35" t="s">
        <v>9</v>
      </c>
      <c r="I12" s="15" t="s">
        <v>9</v>
      </c>
    </row>
    <row r="13" spans="1:9" ht="30" customHeight="1">
      <c r="A13" s="653">
        <v>12</v>
      </c>
      <c r="B13" s="648"/>
      <c r="C13" s="621"/>
      <c r="D13" s="622" t="s">
        <v>213</v>
      </c>
      <c r="E13" s="622" t="s">
        <v>213</v>
      </c>
      <c r="F13" s="43"/>
      <c r="G13" s="44"/>
      <c r="H13" s="45"/>
      <c r="I13" s="46"/>
    </row>
    <row r="14" spans="1:9" ht="30" customHeight="1">
      <c r="A14" s="654">
        <v>13</v>
      </c>
      <c r="B14" s="649"/>
      <c r="C14" s="621"/>
      <c r="D14" s="622" t="s">
        <v>213</v>
      </c>
      <c r="E14" s="622" t="s">
        <v>213</v>
      </c>
      <c r="F14" s="50"/>
      <c r="G14" s="48"/>
      <c r="H14" s="51"/>
      <c r="I14" s="48"/>
    </row>
    <row r="15" spans="1:9" ht="30" customHeight="1">
      <c r="A15" s="653">
        <v>14</v>
      </c>
      <c r="B15" s="335"/>
      <c r="C15" s="151"/>
      <c r="D15" s="43"/>
      <c r="E15" s="44"/>
      <c r="F15" s="639"/>
      <c r="G15" s="44"/>
      <c r="H15" s="54"/>
      <c r="I15" s="44"/>
    </row>
    <row r="16" spans="1:9" ht="30" customHeight="1">
      <c r="A16" s="654">
        <v>15</v>
      </c>
      <c r="B16" s="352"/>
      <c r="C16" s="56"/>
      <c r="D16" s="56"/>
      <c r="E16" s="57"/>
      <c r="F16" s="672" t="s">
        <v>264</v>
      </c>
      <c r="G16" s="59"/>
      <c r="H16" s="60"/>
      <c r="I16" s="55"/>
    </row>
    <row r="17" spans="1:9" ht="30" customHeight="1">
      <c r="A17" s="655">
        <v>16</v>
      </c>
      <c r="B17" s="64"/>
      <c r="C17" s="58"/>
      <c r="D17" s="62"/>
      <c r="E17" s="63"/>
      <c r="F17" s="672" t="s">
        <v>264</v>
      </c>
      <c r="G17" s="64"/>
      <c r="H17" s="60"/>
      <c r="I17" s="61"/>
    </row>
    <row r="18" spans="1:9" ht="30" customHeight="1">
      <c r="A18" s="655">
        <v>17</v>
      </c>
      <c r="B18" s="66"/>
      <c r="C18" s="66"/>
      <c r="D18" s="622" t="s">
        <v>213</v>
      </c>
      <c r="E18" s="622" t="s">
        <v>213</v>
      </c>
      <c r="F18" s="335"/>
      <c r="G18" s="131"/>
      <c r="H18" s="67"/>
      <c r="I18" s="68"/>
    </row>
    <row r="19" spans="1:9" ht="30" customHeight="1">
      <c r="A19" s="655">
        <v>18</v>
      </c>
      <c r="B19" s="650" t="s">
        <v>265</v>
      </c>
      <c r="C19" s="67"/>
      <c r="D19" s="622" t="s">
        <v>213</v>
      </c>
      <c r="E19" s="622" t="s">
        <v>213</v>
      </c>
      <c r="F19" s="633"/>
      <c r="G19" s="676" t="s">
        <v>266</v>
      </c>
      <c r="H19" s="67"/>
      <c r="I19" s="67"/>
    </row>
    <row r="20" spans="1:9" ht="30" customHeight="1">
      <c r="A20" s="655">
        <v>19</v>
      </c>
      <c r="B20" s="650" t="s">
        <v>267</v>
      </c>
      <c r="C20" s="67"/>
      <c r="D20" s="622" t="s">
        <v>213</v>
      </c>
      <c r="E20" s="632" t="s">
        <v>213</v>
      </c>
      <c r="F20" s="633"/>
      <c r="G20" s="676" t="s">
        <v>266</v>
      </c>
      <c r="H20" s="67"/>
      <c r="I20" s="67"/>
    </row>
    <row r="21" spans="1:9" ht="30" customHeight="1">
      <c r="A21" s="653">
        <v>20</v>
      </c>
      <c r="B21" s="650" t="s">
        <v>267</v>
      </c>
      <c r="C21" s="73"/>
      <c r="D21" s="622" t="s">
        <v>213</v>
      </c>
      <c r="E21" s="632" t="s">
        <v>213</v>
      </c>
      <c r="F21" s="633"/>
      <c r="G21" s="91"/>
      <c r="H21" s="45"/>
      <c r="I21" s="61"/>
    </row>
    <row r="22" spans="1:9" ht="30" customHeight="1">
      <c r="A22" s="654">
        <v>21</v>
      </c>
      <c r="B22" s="664" t="s">
        <v>213</v>
      </c>
      <c r="C22" s="685" t="s">
        <v>227</v>
      </c>
      <c r="D22" s="150"/>
      <c r="E22" s="159" t="s">
        <v>268</v>
      </c>
      <c r="F22" s="529" t="s">
        <v>269</v>
      </c>
      <c r="G22" s="150"/>
      <c r="H22" s="619" t="s">
        <v>270</v>
      </c>
      <c r="I22" s="61"/>
    </row>
    <row r="23" spans="1:9" ht="30" customHeight="1">
      <c r="A23" s="655">
        <v>22</v>
      </c>
      <c r="B23" s="665" t="s">
        <v>213</v>
      </c>
      <c r="C23" s="691" t="s">
        <v>271</v>
      </c>
      <c r="D23" s="74"/>
      <c r="E23" s="159" t="s">
        <v>272</v>
      </c>
      <c r="F23" s="529" t="s">
        <v>75</v>
      </c>
      <c r="G23" s="64"/>
      <c r="H23" s="620" t="s">
        <v>270</v>
      </c>
      <c r="I23" s="61"/>
    </row>
    <row r="24" spans="1:9" ht="30" customHeight="1">
      <c r="A24" s="655">
        <v>23</v>
      </c>
      <c r="B24" s="665" t="s">
        <v>213</v>
      </c>
      <c r="C24" s="668"/>
      <c r="D24" s="150"/>
      <c r="E24" s="150"/>
      <c r="F24" s="529" t="s">
        <v>75</v>
      </c>
      <c r="G24" s="332"/>
      <c r="H24" s="79"/>
      <c r="I24" s="61"/>
    </row>
    <row r="25" spans="1:9" ht="30" customHeight="1">
      <c r="A25" s="655">
        <v>24</v>
      </c>
      <c r="B25" s="665" t="s">
        <v>213</v>
      </c>
      <c r="C25" s="151"/>
      <c r="D25" s="43"/>
      <c r="E25" s="43"/>
      <c r="F25" s="529" t="s">
        <v>75</v>
      </c>
      <c r="G25" s="81"/>
      <c r="H25" s="82"/>
      <c r="I25" s="61"/>
    </row>
    <row r="26" spans="1:9" ht="30" customHeight="1">
      <c r="A26" s="655">
        <v>25</v>
      </c>
      <c r="B26" s="43"/>
      <c r="C26" s="43"/>
      <c r="D26" s="43"/>
      <c r="E26" s="499" t="s">
        <v>273</v>
      </c>
      <c r="F26" s="43"/>
      <c r="G26" s="81"/>
      <c r="H26" s="369" t="s">
        <v>10</v>
      </c>
      <c r="I26" s="80"/>
    </row>
    <row r="27" spans="1:9" ht="30" customHeight="1">
      <c r="A27" s="655">
        <v>26</v>
      </c>
      <c r="B27" s="43"/>
      <c r="C27" s="43"/>
      <c r="D27" s="43"/>
      <c r="E27" s="499" t="s">
        <v>274</v>
      </c>
      <c r="F27" s="43"/>
      <c r="G27" s="81"/>
      <c r="H27" s="83"/>
      <c r="I27" s="80"/>
    </row>
    <row r="28" spans="1:9" ht="30" customHeight="1">
      <c r="A28" s="655">
        <v>27</v>
      </c>
      <c r="B28" s="651"/>
      <c r="C28" s="84"/>
      <c r="D28" s="84"/>
      <c r="E28" s="499" t="s">
        <v>275</v>
      </c>
      <c r="F28" s="85"/>
      <c r="G28" s="84"/>
      <c r="H28" s="86"/>
      <c r="I28" s="61"/>
    </row>
    <row r="29" spans="1:9" ht="30" customHeight="1">
      <c r="A29" s="655">
        <v>28</v>
      </c>
      <c r="B29" s="64"/>
      <c r="C29" s="84"/>
      <c r="D29" s="84"/>
      <c r="E29" s="499" t="s">
        <v>274</v>
      </c>
      <c r="F29" s="64"/>
      <c r="G29" s="64"/>
      <c r="H29" s="87"/>
      <c r="I29" s="61"/>
    </row>
    <row r="30" spans="1:9" ht="30" customHeight="1">
      <c r="A30" s="655">
        <v>29</v>
      </c>
      <c r="B30" s="64"/>
      <c r="C30" s="634" t="s">
        <v>227</v>
      </c>
      <c r="D30" s="64"/>
      <c r="E30" s="88"/>
      <c r="F30" s="88"/>
      <c r="G30" s="64"/>
      <c r="H30" s="60"/>
      <c r="I30" s="80"/>
    </row>
    <row r="31" spans="1:9" ht="30" customHeight="1">
      <c r="A31" s="655">
        <v>30</v>
      </c>
      <c r="B31" s="64"/>
      <c r="C31" s="64"/>
      <c r="D31" s="64"/>
      <c r="E31" s="88"/>
      <c r="F31" s="88"/>
      <c r="G31" s="64"/>
      <c r="H31" s="60"/>
      <c r="I31" s="80"/>
    </row>
    <row r="32" spans="1:9" ht="30" customHeight="1">
      <c r="A32" s="653">
        <v>31</v>
      </c>
      <c r="B32" s="526"/>
      <c r="C32" s="526"/>
      <c r="D32" s="526"/>
      <c r="E32" s="526"/>
      <c r="F32" s="526"/>
      <c r="G32" s="816"/>
      <c r="H32" s="45"/>
      <c r="I32" s="61"/>
    </row>
    <row r="33" spans="1:9" ht="30" customHeight="1">
      <c r="A33" s="817" t="s">
        <v>276</v>
      </c>
      <c r="B33" s="329" t="s">
        <v>1</v>
      </c>
      <c r="C33" s="329" t="s">
        <v>2</v>
      </c>
      <c r="D33" s="329" t="s">
        <v>3</v>
      </c>
      <c r="E33" s="329" t="s">
        <v>4</v>
      </c>
      <c r="F33" s="329" t="s">
        <v>5</v>
      </c>
      <c r="G33" s="329" t="s">
        <v>6</v>
      </c>
      <c r="H33" s="329" t="s">
        <v>7</v>
      </c>
      <c r="I33" s="39" t="s">
        <v>8</v>
      </c>
    </row>
    <row r="34" spans="1:9">
      <c r="A34" s="818">
        <v>1</v>
      </c>
      <c r="B34" s="343"/>
      <c r="C34" s="343"/>
      <c r="D34" s="343"/>
      <c r="E34" s="343"/>
      <c r="F34" s="343"/>
      <c r="G34" s="819"/>
      <c r="H34" s="819"/>
      <c r="I34" s="43"/>
    </row>
    <row r="35" spans="1:9">
      <c r="A35" s="818">
        <v>2</v>
      </c>
      <c r="B35" s="343"/>
      <c r="C35" s="343"/>
      <c r="D35" s="343"/>
      <c r="E35" s="343"/>
      <c r="F35" s="343"/>
      <c r="G35" s="820"/>
      <c r="H35" s="821"/>
      <c r="I35" s="64"/>
    </row>
    <row r="36" spans="1:9">
      <c r="A36" s="818">
        <v>3</v>
      </c>
      <c r="B36" s="343"/>
      <c r="C36" s="343"/>
      <c r="D36" s="343"/>
      <c r="E36" s="343"/>
      <c r="F36" s="343"/>
      <c r="G36" s="821"/>
      <c r="H36" s="821"/>
      <c r="I36" s="64"/>
    </row>
    <row r="37" spans="1:9">
      <c r="A37" s="818">
        <v>4</v>
      </c>
      <c r="B37" s="343"/>
      <c r="C37" s="343"/>
      <c r="D37" s="343"/>
      <c r="E37" s="343"/>
      <c r="F37" s="343"/>
      <c r="G37" s="819"/>
      <c r="H37" s="819"/>
      <c r="I37" s="64"/>
    </row>
    <row r="38" spans="1:9">
      <c r="A38" s="818">
        <v>5</v>
      </c>
      <c r="B38" s="343"/>
      <c r="C38" s="791"/>
      <c r="D38" s="822"/>
      <c r="E38" s="343"/>
      <c r="F38" s="343"/>
      <c r="G38" s="823"/>
      <c r="H38" s="824"/>
      <c r="I38" s="64"/>
    </row>
    <row r="39" spans="1:9">
      <c r="A39" s="818">
        <v>6</v>
      </c>
      <c r="B39" s="343"/>
      <c r="C39" s="343"/>
      <c r="D39" s="343"/>
      <c r="E39" s="343"/>
      <c r="F39" s="343"/>
      <c r="G39" s="819"/>
      <c r="H39" s="819"/>
      <c r="I39" s="43"/>
    </row>
    <row r="40" spans="1:9">
      <c r="A40" s="818">
        <v>7</v>
      </c>
      <c r="B40" s="343"/>
      <c r="C40" s="343"/>
      <c r="D40" s="343"/>
      <c r="E40" s="343"/>
      <c r="F40" s="343"/>
      <c r="G40" s="819"/>
      <c r="H40" s="819"/>
      <c r="I40" s="64"/>
    </row>
    <row r="41" spans="1:9">
      <c r="A41" s="818">
        <v>8</v>
      </c>
      <c r="B41" s="343"/>
      <c r="C41" s="343"/>
      <c r="D41" s="343"/>
      <c r="E41" s="343"/>
      <c r="F41" s="343"/>
      <c r="G41" s="825"/>
      <c r="H41" s="819"/>
      <c r="I41" s="64"/>
    </row>
    <row r="42" spans="1:9" ht="36" customHeight="1">
      <c r="A42" s="818">
        <v>9</v>
      </c>
      <c r="B42" s="534" t="s">
        <v>277</v>
      </c>
      <c r="C42" s="343"/>
      <c r="D42" s="343"/>
      <c r="E42" s="343"/>
      <c r="F42" s="343"/>
      <c r="G42" s="819"/>
      <c r="H42" s="819"/>
      <c r="I42" s="64"/>
    </row>
    <row r="43" spans="1:9" ht="36" customHeight="1">
      <c r="A43" s="818">
        <v>10</v>
      </c>
      <c r="B43" s="343"/>
      <c r="C43" s="343"/>
      <c r="D43" s="343"/>
      <c r="E43" s="343"/>
      <c r="F43" s="826" t="s">
        <v>278</v>
      </c>
      <c r="G43" s="819"/>
      <c r="H43" s="827"/>
      <c r="I43" s="64"/>
    </row>
    <row r="44" spans="1:9" ht="36" customHeight="1">
      <c r="A44" s="818">
        <v>11</v>
      </c>
      <c r="B44" s="343"/>
      <c r="C44" s="343"/>
      <c r="D44" s="343"/>
      <c r="E44" s="343"/>
      <c r="F44" s="543" t="s">
        <v>279</v>
      </c>
      <c r="G44" s="819"/>
      <c r="H44" s="819"/>
      <c r="I44" s="64"/>
    </row>
    <row r="45" spans="1:9" ht="36" customHeight="1">
      <c r="A45" s="818">
        <v>12</v>
      </c>
      <c r="B45" s="343"/>
      <c r="C45" s="791"/>
      <c r="D45" s="343"/>
      <c r="E45" s="343"/>
      <c r="F45" s="543" t="s">
        <v>279</v>
      </c>
      <c r="G45" s="819"/>
      <c r="H45" s="819"/>
      <c r="I45" s="43"/>
    </row>
    <row r="46" spans="1:9">
      <c r="A46" s="818">
        <v>13</v>
      </c>
      <c r="B46" s="343"/>
      <c r="C46" s="343"/>
      <c r="D46" s="343"/>
      <c r="E46" s="343"/>
      <c r="F46" s="343"/>
      <c r="G46" s="819"/>
      <c r="H46" s="819"/>
      <c r="I46" s="54"/>
    </row>
    <row r="47" spans="1:9" ht="15.75">
      <c r="A47" s="818">
        <v>14</v>
      </c>
      <c r="B47" s="343"/>
      <c r="C47" s="343"/>
      <c r="D47" s="343"/>
      <c r="E47" s="343"/>
      <c r="F47" s="343"/>
      <c r="G47" s="828"/>
      <c r="H47" s="828"/>
      <c r="I47" s="64"/>
    </row>
    <row r="48" spans="1:9" ht="15.75">
      <c r="A48" s="818">
        <v>15</v>
      </c>
      <c r="B48" s="343"/>
      <c r="C48" s="343"/>
      <c r="D48" s="343"/>
      <c r="E48" s="343"/>
      <c r="F48" s="343"/>
      <c r="G48" s="828"/>
      <c r="H48" s="343"/>
      <c r="I48" s="43"/>
    </row>
    <row r="49" spans="1:9" ht="15.75">
      <c r="A49" s="818">
        <v>16</v>
      </c>
      <c r="B49" s="343"/>
      <c r="C49" s="343"/>
      <c r="D49" s="343"/>
      <c r="E49" s="343"/>
      <c r="F49" s="343"/>
      <c r="G49" s="828"/>
      <c r="H49" s="828"/>
      <c r="I49" s="64"/>
    </row>
    <row r="50" spans="1:9">
      <c r="A50" s="818">
        <v>17</v>
      </c>
      <c r="B50" s="343"/>
      <c r="C50" s="343"/>
      <c r="D50" s="343"/>
      <c r="E50" s="343"/>
      <c r="F50" s="343"/>
      <c r="G50" s="825"/>
      <c r="H50" s="829"/>
      <c r="I50" s="64"/>
    </row>
    <row r="51" spans="1:9">
      <c r="A51" s="818">
        <v>18</v>
      </c>
      <c r="B51" s="343"/>
      <c r="C51" s="343"/>
      <c r="D51" s="343"/>
      <c r="E51" s="343"/>
      <c r="F51" s="343"/>
      <c r="G51" s="830"/>
      <c r="H51" s="831"/>
      <c r="I51" s="108"/>
    </row>
    <row r="52" spans="1:9" ht="28.5">
      <c r="A52" s="818">
        <v>19</v>
      </c>
      <c r="B52" s="343"/>
      <c r="C52" s="685" t="s">
        <v>227</v>
      </c>
      <c r="D52" s="343"/>
      <c r="E52" s="343"/>
      <c r="F52" s="343"/>
      <c r="G52" s="819"/>
      <c r="H52" s="819"/>
      <c r="I52" s="64"/>
    </row>
    <row r="53" spans="1:9">
      <c r="A53" s="818">
        <v>20</v>
      </c>
      <c r="B53" s="343"/>
      <c r="C53" s="791"/>
      <c r="D53" s="343"/>
      <c r="E53" s="343"/>
      <c r="F53" s="343"/>
      <c r="G53" s="832"/>
      <c r="H53" s="819"/>
      <c r="I53" s="64"/>
    </row>
    <row r="54" spans="1:9">
      <c r="A54" s="818">
        <v>21</v>
      </c>
      <c r="B54" s="819"/>
      <c r="C54" s="825"/>
      <c r="D54" s="825"/>
      <c r="E54" s="825"/>
      <c r="F54" s="833"/>
      <c r="G54" s="832"/>
      <c r="H54" s="834"/>
      <c r="I54" s="64"/>
    </row>
    <row r="55" spans="1:9">
      <c r="A55" s="818">
        <v>22</v>
      </c>
      <c r="B55" s="819"/>
      <c r="C55" s="825"/>
      <c r="D55" s="825"/>
      <c r="E55" s="825"/>
      <c r="F55" s="833"/>
      <c r="G55" s="832"/>
      <c r="H55" s="819"/>
      <c r="I55" s="64"/>
    </row>
    <row r="56" spans="1:9" ht="15.75">
      <c r="A56" s="818">
        <v>23</v>
      </c>
      <c r="B56" s="835"/>
      <c r="C56" s="835"/>
      <c r="D56" s="835"/>
      <c r="E56" s="835"/>
      <c r="F56" s="836"/>
      <c r="G56" s="832"/>
      <c r="H56" s="819"/>
      <c r="I56" s="64"/>
    </row>
    <row r="57" spans="1:9" ht="15.75">
      <c r="A57" s="818">
        <v>24</v>
      </c>
      <c r="B57" s="835"/>
      <c r="C57" s="835"/>
      <c r="D57" s="835"/>
      <c r="E57" s="835"/>
      <c r="F57" s="915"/>
      <c r="G57" s="832"/>
      <c r="H57" s="827"/>
      <c r="I57" s="112"/>
    </row>
    <row r="58" spans="1:9" ht="15.75">
      <c r="A58" s="818">
        <v>25</v>
      </c>
      <c r="B58" s="838"/>
      <c r="C58" s="838"/>
      <c r="D58" s="838"/>
      <c r="E58" s="838"/>
      <c r="F58" s="916"/>
      <c r="G58" s="819"/>
      <c r="H58" s="819"/>
      <c r="I58" s="64"/>
    </row>
    <row r="59" spans="1:9" ht="28.5">
      <c r="A59" s="818">
        <v>26</v>
      </c>
      <c r="B59" s="839"/>
      <c r="C59" s="685" t="s">
        <v>227</v>
      </c>
      <c r="D59" s="839"/>
      <c r="E59" s="839"/>
      <c r="F59" s="916"/>
      <c r="G59" s="839"/>
      <c r="H59" s="839"/>
      <c r="I59" s="64"/>
    </row>
    <row r="60" spans="1:9" ht="36" customHeight="1">
      <c r="A60" s="818">
        <v>27</v>
      </c>
      <c r="B60" s="839"/>
      <c r="C60" s="839"/>
      <c r="D60" s="839"/>
      <c r="E60" s="839"/>
      <c r="F60" s="837" t="s">
        <v>280</v>
      </c>
      <c r="G60" s="839"/>
      <c r="H60" s="839"/>
      <c r="I60" s="43"/>
    </row>
    <row r="61" spans="1:9">
      <c r="A61" s="818">
        <v>28</v>
      </c>
      <c r="B61" s="839"/>
      <c r="C61" s="839"/>
      <c r="D61" s="839"/>
      <c r="E61" s="839"/>
      <c r="F61" s="837" t="s">
        <v>281</v>
      </c>
      <c r="G61" s="839"/>
      <c r="H61" s="839"/>
      <c r="I61" s="44"/>
    </row>
    <row r="62" spans="1:9">
      <c r="A62" s="818">
        <v>29</v>
      </c>
      <c r="B62" s="944"/>
      <c r="C62" s="944"/>
      <c r="D62" s="944"/>
      <c r="E62" s="944"/>
      <c r="F62" s="837" t="s">
        <v>281</v>
      </c>
      <c r="G62" s="819"/>
      <c r="H62" s="819"/>
      <c r="I62" s="48"/>
    </row>
    <row r="63" spans="1:9" ht="28.5">
      <c r="A63" s="818">
        <v>30</v>
      </c>
      <c r="B63" s="944"/>
      <c r="C63" s="944"/>
      <c r="D63" s="944"/>
      <c r="E63" s="944"/>
      <c r="F63" s="837" t="s">
        <v>281</v>
      </c>
      <c r="G63" s="819"/>
      <c r="H63" s="949" t="s">
        <v>282</v>
      </c>
      <c r="I63" s="48"/>
    </row>
    <row r="64" spans="1:9">
      <c r="A64" s="818">
        <v>31</v>
      </c>
      <c r="B64" s="325"/>
      <c r="C64" s="325"/>
      <c r="D64" s="325"/>
      <c r="E64" s="325"/>
      <c r="F64" s="837" t="s">
        <v>281</v>
      </c>
      <c r="G64" s="819"/>
      <c r="H64" s="819"/>
      <c r="I64" s="59"/>
    </row>
    <row r="65" spans="1:9" ht="34.5" customHeight="1">
      <c r="A65" s="148" t="s">
        <v>283</v>
      </c>
      <c r="B65" s="37" t="s">
        <v>1</v>
      </c>
      <c r="C65" s="37" t="s">
        <v>2</v>
      </c>
      <c r="D65" s="37" t="s">
        <v>3</v>
      </c>
      <c r="E65" s="37" t="s">
        <v>4</v>
      </c>
      <c r="F65" s="37" t="s">
        <v>5</v>
      </c>
      <c r="G65" s="37" t="s">
        <v>6</v>
      </c>
      <c r="H65" s="37" t="s">
        <v>7</v>
      </c>
      <c r="I65" s="39" t="s">
        <v>8</v>
      </c>
    </row>
    <row r="66" spans="1:9" ht="15.75">
      <c r="A66" s="7">
        <v>1</v>
      </c>
      <c r="B66" s="117"/>
      <c r="C66" s="43"/>
      <c r="D66" s="101"/>
      <c r="E66" s="105"/>
      <c r="F66" s="929" t="s">
        <v>284</v>
      </c>
      <c r="G66" s="97"/>
      <c r="H66" s="64"/>
      <c r="I66" s="43"/>
    </row>
    <row r="67" spans="1:9" ht="28.5">
      <c r="A67" s="7">
        <v>2</v>
      </c>
      <c r="B67" s="685" t="s">
        <v>227</v>
      </c>
      <c r="C67" s="74"/>
      <c r="D67" s="101"/>
      <c r="E67" s="105"/>
      <c r="F67" s="930" t="s">
        <v>285</v>
      </c>
      <c r="G67" s="64"/>
      <c r="H67" s="74"/>
      <c r="I67" s="64"/>
    </row>
    <row r="68" spans="1:9">
      <c r="A68" s="7">
        <v>3</v>
      </c>
      <c r="B68" s="120"/>
      <c r="C68" s="120"/>
      <c r="D68" s="74"/>
      <c r="E68" s="74"/>
      <c r="F68" s="931" t="s">
        <v>285</v>
      </c>
      <c r="G68" s="64"/>
      <c r="H68" s="64"/>
      <c r="I68" s="44"/>
    </row>
    <row r="69" spans="1:9">
      <c r="A69" s="7">
        <v>4</v>
      </c>
      <c r="B69" s="120"/>
      <c r="C69" s="120"/>
      <c r="D69" s="74"/>
      <c r="E69" s="87"/>
      <c r="F69" s="947"/>
      <c r="G69" s="45"/>
      <c r="H69" s="92"/>
      <c r="I69" s="93"/>
    </row>
    <row r="70" spans="1:9">
      <c r="A70" s="7">
        <v>5</v>
      </c>
      <c r="B70" s="169" t="s">
        <v>286</v>
      </c>
      <c r="C70" s="169" t="s">
        <v>286</v>
      </c>
      <c r="D70" s="169" t="s">
        <v>286</v>
      </c>
      <c r="E70" s="169" t="s">
        <v>286</v>
      </c>
      <c r="F70" s="169" t="s">
        <v>286</v>
      </c>
      <c r="G70" s="48"/>
      <c r="H70" s="692" t="s">
        <v>287</v>
      </c>
      <c r="I70" s="123"/>
    </row>
    <row r="71" spans="1:9">
      <c r="A71" s="7">
        <v>6</v>
      </c>
      <c r="B71" s="169" t="s">
        <v>286</v>
      </c>
      <c r="C71" s="169" t="s">
        <v>286</v>
      </c>
      <c r="D71" s="169" t="s">
        <v>286</v>
      </c>
      <c r="E71" s="169" t="s">
        <v>286</v>
      </c>
      <c r="F71" s="169" t="s">
        <v>286</v>
      </c>
      <c r="G71" s="81"/>
      <c r="H71" s="692" t="s">
        <v>287</v>
      </c>
      <c r="I71" s="43"/>
    </row>
    <row r="72" spans="1:9">
      <c r="A72" s="7">
        <v>7</v>
      </c>
      <c r="B72" s="339"/>
      <c r="C72" s="339"/>
      <c r="D72" s="339"/>
      <c r="E72" s="339"/>
      <c r="F72" s="548" t="s">
        <v>288</v>
      </c>
      <c r="G72" s="127"/>
      <c r="H72" s="64"/>
      <c r="I72" s="64"/>
    </row>
    <row r="73" spans="1:9">
      <c r="A73" s="7">
        <v>8</v>
      </c>
      <c r="B73" s="164" t="s">
        <v>289</v>
      </c>
      <c r="C73" s="331"/>
      <c r="D73" s="339"/>
      <c r="E73" s="339"/>
      <c r="F73" s="548" t="s">
        <v>290</v>
      </c>
      <c r="G73" s="64"/>
      <c r="H73" s="64"/>
      <c r="I73" s="64"/>
    </row>
    <row r="74" spans="1:9">
      <c r="A74" s="7">
        <v>9</v>
      </c>
      <c r="B74" s="164" t="s">
        <v>291</v>
      </c>
      <c r="C74" s="336" t="s">
        <v>292</v>
      </c>
      <c r="D74" s="163"/>
      <c r="E74" s="163"/>
      <c r="F74" s="548" t="s">
        <v>290</v>
      </c>
      <c r="G74" s="491"/>
      <c r="H74" s="150"/>
      <c r="I74" s="64"/>
    </row>
    <row r="75" spans="1:9" ht="28.5">
      <c r="A75" s="7">
        <v>10</v>
      </c>
      <c r="B75" s="164" t="s">
        <v>291</v>
      </c>
      <c r="C75" s="336" t="s">
        <v>292</v>
      </c>
      <c r="D75" s="921" t="s">
        <v>293</v>
      </c>
      <c r="E75" s="685" t="s">
        <v>227</v>
      </c>
      <c r="F75" s="150"/>
      <c r="G75" s="491"/>
      <c r="H75" s="692" t="s">
        <v>294</v>
      </c>
      <c r="I75" s="64"/>
    </row>
    <row r="76" spans="1:9">
      <c r="A76" s="7">
        <v>11</v>
      </c>
      <c r="B76" s="164" t="s">
        <v>291</v>
      </c>
      <c r="C76" s="922" t="s">
        <v>292</v>
      </c>
      <c r="D76" s="919" t="s">
        <v>295</v>
      </c>
      <c r="E76" s="340"/>
      <c r="F76" s="956" t="s">
        <v>296</v>
      </c>
      <c r="G76" s="920" t="s">
        <v>297</v>
      </c>
      <c r="H76" s="692" t="s">
        <v>287</v>
      </c>
      <c r="I76" s="64"/>
    </row>
    <row r="77" spans="1:9" ht="13.5" customHeight="1">
      <c r="A77" s="7">
        <v>12</v>
      </c>
      <c r="B77" s="596" t="s">
        <v>298</v>
      </c>
      <c r="C77" s="962" t="s">
        <v>299</v>
      </c>
      <c r="D77" s="43"/>
      <c r="E77" s="340"/>
      <c r="F77" s="842"/>
      <c r="G77" s="64"/>
      <c r="H77" s="692" t="s">
        <v>300</v>
      </c>
      <c r="I77" s="43"/>
    </row>
    <row r="78" spans="1:9" ht="15.75">
      <c r="A78" s="7">
        <v>13</v>
      </c>
      <c r="B78" s="43"/>
      <c r="C78" s="963" t="s">
        <v>299</v>
      </c>
      <c r="D78" s="595" t="s">
        <v>301</v>
      </c>
      <c r="E78" s="132"/>
      <c r="F78" s="461"/>
      <c r="G78" s="91"/>
      <c r="H78" s="692" t="s">
        <v>302</v>
      </c>
      <c r="I78" s="43"/>
    </row>
    <row r="79" spans="1:9" ht="15.75">
      <c r="A79" s="7">
        <v>14</v>
      </c>
      <c r="B79" s="43"/>
      <c r="C79" s="963" t="s">
        <v>299</v>
      </c>
      <c r="D79" s="595" t="s">
        <v>301</v>
      </c>
      <c r="E79" s="478" t="s">
        <v>303</v>
      </c>
      <c r="F79" s="695" t="s">
        <v>304</v>
      </c>
      <c r="G79" s="131"/>
      <c r="H79" s="692" t="s">
        <v>302</v>
      </c>
      <c r="I79" s="43"/>
    </row>
    <row r="80" spans="1:9" ht="22.5" customHeight="1">
      <c r="A80" s="7">
        <v>15</v>
      </c>
      <c r="B80" s="961" t="s">
        <v>227</v>
      </c>
      <c r="C80" s="963" t="s">
        <v>299</v>
      </c>
      <c r="D80" s="768"/>
      <c r="E80" s="478" t="s">
        <v>305</v>
      </c>
      <c r="F80" s="670" t="s">
        <v>306</v>
      </c>
      <c r="G80" s="64"/>
      <c r="H80" s="134"/>
      <c r="I80" s="43"/>
    </row>
    <row r="81" spans="1:9" ht="24" customHeight="1">
      <c r="A81" s="7">
        <v>16</v>
      </c>
      <c r="B81" s="648"/>
      <c r="C81" s="964"/>
      <c r="D81" s="962" t="s">
        <v>299</v>
      </c>
      <c r="E81" s="973" t="s">
        <v>305</v>
      </c>
      <c r="F81" s="670" t="s">
        <v>306</v>
      </c>
      <c r="G81" s="170"/>
      <c r="H81" s="170"/>
      <c r="I81" s="64"/>
    </row>
    <row r="82" spans="1:9" ht="30.75" customHeight="1">
      <c r="A82" s="16">
        <v>17</v>
      </c>
      <c r="B82" s="953"/>
      <c r="C82" s="954"/>
      <c r="D82" s="972" t="s">
        <v>307</v>
      </c>
      <c r="E82" s="995" t="s">
        <v>307</v>
      </c>
      <c r="F82" s="694"/>
      <c r="G82" s="994" t="s">
        <v>308</v>
      </c>
      <c r="H82" s="150"/>
      <c r="I82" s="113"/>
    </row>
    <row r="83" spans="1:9" ht="55.5" customHeight="1">
      <c r="A83" s="16">
        <v>18</v>
      </c>
      <c r="B83" s="1202"/>
      <c r="C83" s="1203"/>
      <c r="D83" s="993" t="s">
        <v>309</v>
      </c>
      <c r="E83" s="992" t="s">
        <v>310</v>
      </c>
      <c r="F83" s="357"/>
      <c r="G83" s="991" t="s">
        <v>311</v>
      </c>
      <c r="H83" s="952" t="s">
        <v>312</v>
      </c>
      <c r="I83" s="951"/>
    </row>
    <row r="84" spans="1:9" ht="21" customHeight="1">
      <c r="A84" s="16">
        <v>19</v>
      </c>
      <c r="B84" s="1204"/>
      <c r="C84" s="1205"/>
      <c r="D84" s="150"/>
      <c r="E84" s="339"/>
      <c r="F84" s="678"/>
      <c r="G84" s="150"/>
      <c r="H84" s="43"/>
      <c r="I84" s="43"/>
    </row>
    <row r="85" spans="1:9" ht="30.75" customHeight="1">
      <c r="A85" s="7">
        <v>20</v>
      </c>
      <c r="B85" s="529" t="s">
        <v>313</v>
      </c>
      <c r="C85" s="699" t="s">
        <v>314</v>
      </c>
      <c r="D85" s="595" t="s">
        <v>315</v>
      </c>
      <c r="E85" s="529" t="s">
        <v>316</v>
      </c>
      <c r="F85" s="677" t="s">
        <v>316</v>
      </c>
      <c r="G85" s="150"/>
      <c r="H85" s="43"/>
      <c r="I85" s="43"/>
    </row>
    <row r="86" spans="1:9" ht="55.5" customHeight="1">
      <c r="A86" s="7">
        <v>21</v>
      </c>
      <c r="B86" s="988" t="s">
        <v>313</v>
      </c>
      <c r="C86" s="988" t="s">
        <v>314</v>
      </c>
      <c r="D86" s="990" t="s">
        <v>317</v>
      </c>
      <c r="E86" s="989" t="s">
        <v>316</v>
      </c>
      <c r="F86" s="989" t="s">
        <v>316</v>
      </c>
      <c r="G86" s="64"/>
      <c r="H86" s="64"/>
      <c r="I86" s="81"/>
    </row>
    <row r="87" spans="1:9" ht="33" customHeight="1">
      <c r="A87" s="7">
        <v>22</v>
      </c>
      <c r="B87" s="137"/>
      <c r="C87" s="974" t="s">
        <v>318</v>
      </c>
      <c r="D87" s="960" t="s">
        <v>319</v>
      </c>
      <c r="E87" s="569"/>
      <c r="F87" s="569"/>
      <c r="G87" s="64"/>
      <c r="H87" s="64"/>
      <c r="I87" s="43"/>
    </row>
    <row r="88" spans="1:9" ht="26.25" customHeight="1">
      <c r="A88" s="16">
        <v>23</v>
      </c>
      <c r="B88" s="1003"/>
      <c r="C88" s="949" t="s">
        <v>320</v>
      </c>
      <c r="D88" s="140"/>
      <c r="E88" s="795"/>
      <c r="F88" s="946" t="s">
        <v>321</v>
      </c>
      <c r="G88" s="325"/>
      <c r="H88" s="150"/>
      <c r="I88" s="64"/>
    </row>
    <row r="89" spans="1:9" ht="26.25" customHeight="1">
      <c r="A89" s="16">
        <v>24</v>
      </c>
      <c r="B89" s="325"/>
      <c r="C89" s="796"/>
      <c r="D89" s="975" t="s">
        <v>322</v>
      </c>
      <c r="E89" s="505"/>
      <c r="F89" s="979" t="s">
        <v>323</v>
      </c>
      <c r="G89" s="976" t="s">
        <v>324</v>
      </c>
      <c r="H89" s="64"/>
      <c r="I89" s="64"/>
    </row>
    <row r="90" spans="1:9" ht="30.75" customHeight="1">
      <c r="A90" s="7">
        <v>25</v>
      </c>
      <c r="B90" s="955" t="s">
        <v>227</v>
      </c>
      <c r="C90" s="843" t="s">
        <v>325</v>
      </c>
      <c r="D90" s="1002"/>
      <c r="E90" s="978" t="s">
        <v>326</v>
      </c>
      <c r="F90" s="1001"/>
      <c r="G90" s="435" t="s">
        <v>327</v>
      </c>
      <c r="H90" s="965" t="s">
        <v>328</v>
      </c>
      <c r="I90" s="64"/>
    </row>
    <row r="91" spans="1:9" ht="43.5" customHeight="1">
      <c r="A91" s="7">
        <v>26</v>
      </c>
      <c r="B91" s="842"/>
      <c r="C91" s="948" t="s">
        <v>329</v>
      </c>
      <c r="D91" s="492"/>
      <c r="E91" s="996" t="s">
        <v>330</v>
      </c>
      <c r="F91" s="725"/>
      <c r="G91" s="435" t="s">
        <v>331</v>
      </c>
      <c r="H91" s="988" t="s">
        <v>332</v>
      </c>
      <c r="I91" s="593"/>
    </row>
    <row r="92" spans="1:9" ht="33.75" customHeight="1">
      <c r="A92" s="7">
        <v>27</v>
      </c>
      <c r="B92" s="1000"/>
      <c r="C92" s="998"/>
      <c r="D92" s="950"/>
      <c r="E92" s="997"/>
      <c r="F92" s="998"/>
      <c r="G92" s="435" t="s">
        <v>333</v>
      </c>
      <c r="H92" s="988" t="s">
        <v>334</v>
      </c>
      <c r="I92" s="411"/>
    </row>
    <row r="93" spans="1:9" ht="24.75" customHeight="1">
      <c r="A93" s="7">
        <v>28</v>
      </c>
      <c r="B93" s="999"/>
      <c r="C93" s="999"/>
      <c r="D93" s="468" t="s">
        <v>335</v>
      </c>
      <c r="E93" s="999"/>
      <c r="F93" s="999"/>
      <c r="G93" s="64"/>
      <c r="H93" s="64"/>
      <c r="I93" s="144"/>
    </row>
    <row r="94" spans="1:9" ht="27" customHeight="1">
      <c r="A94" s="7">
        <v>29</v>
      </c>
      <c r="B94" s="131"/>
      <c r="C94" s="131"/>
      <c r="D94" s="468" t="s">
        <v>336</v>
      </c>
      <c r="E94" s="925"/>
      <c r="F94" s="713"/>
      <c r="G94" s="713"/>
      <c r="H94" s="713"/>
      <c r="I94" s="713"/>
    </row>
    <row r="95" spans="1:9" ht="25.5" customHeight="1">
      <c r="A95" s="7">
        <v>30</v>
      </c>
      <c r="B95" s="923" t="s">
        <v>337</v>
      </c>
      <c r="C95" s="713"/>
      <c r="D95" s="967"/>
      <c r="E95" s="966"/>
      <c r="F95" s="923" t="s">
        <v>338</v>
      </c>
      <c r="G95" s="968" t="s">
        <v>339</v>
      </c>
      <c r="H95" s="923" t="s">
        <v>340</v>
      </c>
      <c r="I95" s="340"/>
    </row>
    <row r="96" spans="1:9">
      <c r="A96" s="5"/>
      <c r="B96" s="5"/>
      <c r="C96" s="5"/>
      <c r="D96" s="5"/>
      <c r="E96" s="5"/>
      <c r="F96" s="5"/>
      <c r="G96" s="5"/>
      <c r="H96" s="5"/>
      <c r="I96" s="5"/>
    </row>
    <row r="97" spans="1:12" ht="15.75" thickBot="1">
      <c r="G97" s="256"/>
      <c r="J97" s="256"/>
      <c r="K97" s="256"/>
      <c r="L97" s="256"/>
    </row>
    <row r="98" spans="1:12" ht="15.75" thickTop="1">
      <c r="A98" s="224"/>
      <c r="B98" s="224"/>
      <c r="C98" s="224"/>
      <c r="D98" s="224"/>
      <c r="E98" s="224"/>
      <c r="F98" s="224"/>
      <c r="G98" s="288"/>
      <c r="H98" s="224"/>
      <c r="I98" s="224"/>
    </row>
    <row r="99" spans="1:12">
      <c r="A99" s="1201" t="s">
        <v>341</v>
      </c>
      <c r="B99" s="1201"/>
      <c r="C99" s="1201"/>
      <c r="D99" s="1201"/>
      <c r="E99" s="1201"/>
      <c r="G99" s="216"/>
      <c r="H99" s="175"/>
    </row>
    <row r="100" spans="1:12">
      <c r="G100" s="217"/>
      <c r="H100" s="176"/>
    </row>
    <row r="101" spans="1:12">
      <c r="A101" s="177"/>
      <c r="B101" s="177"/>
      <c r="C101" s="178">
        <v>2019</v>
      </c>
      <c r="D101" s="179">
        <v>2022</v>
      </c>
      <c r="E101" s="180">
        <v>2023</v>
      </c>
      <c r="F101" s="265">
        <v>2024</v>
      </c>
      <c r="G101" s="265">
        <v>2025</v>
      </c>
      <c r="H101" s="226"/>
    </row>
    <row r="102" spans="1:12">
      <c r="A102" t="s">
        <v>118</v>
      </c>
      <c r="C102" s="291">
        <v>4508.26</v>
      </c>
      <c r="D102" s="183">
        <v>3797.52</v>
      </c>
      <c r="E102" s="184">
        <v>3856.2</v>
      </c>
      <c r="F102" s="277">
        <v>3421.49</v>
      </c>
      <c r="G102" s="662">
        <v>3863.64</v>
      </c>
      <c r="H102" s="311" t="s">
        <v>116</v>
      </c>
      <c r="I102" s="312"/>
      <c r="J102" s="313"/>
    </row>
    <row r="103" spans="1:12">
      <c r="A103" t="s">
        <v>119</v>
      </c>
      <c r="C103" s="291">
        <v>0</v>
      </c>
      <c r="D103" s="183">
        <v>0</v>
      </c>
      <c r="E103" s="184">
        <v>66.12</v>
      </c>
      <c r="F103" s="277">
        <v>289.26</v>
      </c>
      <c r="G103" s="663">
        <v>13.22</v>
      </c>
      <c r="H103" s="314"/>
      <c r="I103" s="315" t="s">
        <v>342</v>
      </c>
      <c r="J103" s="313"/>
    </row>
    <row r="104" spans="1:12">
      <c r="A104" t="s">
        <v>121</v>
      </c>
      <c r="C104" s="292">
        <v>19532.73</v>
      </c>
      <c r="D104" s="183">
        <v>12900.91</v>
      </c>
      <c r="E104" s="184">
        <v>18545.27</v>
      </c>
      <c r="F104" s="277">
        <v>13784.38</v>
      </c>
      <c r="G104" s="663">
        <v>0</v>
      </c>
      <c r="H104" s="226"/>
    </row>
    <row r="105" spans="1:12">
      <c r="A105" t="s">
        <v>123</v>
      </c>
      <c r="C105" s="291">
        <v>4765.45</v>
      </c>
      <c r="D105" s="183">
        <v>3585.45</v>
      </c>
      <c r="E105" s="184">
        <v>9041</v>
      </c>
      <c r="F105" s="277">
        <v>4568.18</v>
      </c>
      <c r="G105" s="663">
        <v>0</v>
      </c>
      <c r="H105" s="226"/>
    </row>
    <row r="106" spans="1:12">
      <c r="A106" t="s">
        <v>125</v>
      </c>
      <c r="C106" s="291">
        <v>16195.14</v>
      </c>
      <c r="D106" s="183">
        <v>4101.8599999999997</v>
      </c>
      <c r="E106" s="184">
        <v>3415.11</v>
      </c>
      <c r="F106" s="277">
        <v>5613.23</v>
      </c>
      <c r="G106" s="663">
        <v>1003.64</v>
      </c>
      <c r="H106" s="246" t="s">
        <v>120</v>
      </c>
      <c r="I106" s="932">
        <v>334341.52</v>
      </c>
      <c r="J106" s="269"/>
      <c r="K106" s="188"/>
    </row>
    <row r="107" spans="1:12">
      <c r="A107" t="s">
        <v>127</v>
      </c>
      <c r="C107" s="291">
        <v>54.55</v>
      </c>
      <c r="D107" s="183">
        <v>272.73</v>
      </c>
      <c r="E107" s="184">
        <v>481.82</v>
      </c>
      <c r="F107" s="277">
        <v>407.27</v>
      </c>
      <c r="G107" s="663">
        <v>582.73</v>
      </c>
      <c r="H107" s="247" t="s">
        <v>122</v>
      </c>
      <c r="I107" s="933">
        <v>0</v>
      </c>
      <c r="J107" s="271"/>
      <c r="K107" s="188"/>
    </row>
    <row r="108" spans="1:12">
      <c r="A108" t="s">
        <v>129</v>
      </c>
      <c r="C108" s="291">
        <v>5169.51</v>
      </c>
      <c r="D108" s="183">
        <v>2212.88</v>
      </c>
      <c r="E108" s="184">
        <v>2264.29</v>
      </c>
      <c r="F108" s="277">
        <v>2423.31</v>
      </c>
      <c r="G108" s="663">
        <v>2184.15</v>
      </c>
      <c r="H108" s="248" t="s">
        <v>124</v>
      </c>
      <c r="I108" s="934">
        <v>207815.56</v>
      </c>
      <c r="J108" s="232"/>
    </row>
    <row r="109" spans="1:12">
      <c r="A109" t="s">
        <v>131</v>
      </c>
      <c r="C109" s="291">
        <v>43446.68</v>
      </c>
      <c r="D109" s="183">
        <v>47619.9</v>
      </c>
      <c r="E109" s="184">
        <v>58286.29</v>
      </c>
      <c r="F109" s="277">
        <v>52953.29</v>
      </c>
      <c r="G109" s="662">
        <v>49488.51</v>
      </c>
      <c r="H109" s="246" t="s">
        <v>126</v>
      </c>
      <c r="I109" s="932">
        <v>405252.7</v>
      </c>
      <c r="J109" s="273"/>
      <c r="K109" s="193"/>
    </row>
    <row r="110" spans="1:12">
      <c r="A110" t="s">
        <v>133</v>
      </c>
      <c r="C110" s="291">
        <v>1852.27</v>
      </c>
      <c r="D110" s="183">
        <v>2503.09</v>
      </c>
      <c r="E110" s="184">
        <v>2940</v>
      </c>
      <c r="F110" s="277">
        <v>2231.66</v>
      </c>
      <c r="G110" s="662">
        <v>2377.63</v>
      </c>
      <c r="H110" s="249" t="s">
        <v>128</v>
      </c>
      <c r="I110" s="935">
        <v>440653.14</v>
      </c>
    </row>
    <row r="111" spans="1:12">
      <c r="A111" t="s">
        <v>8</v>
      </c>
      <c r="C111" s="291">
        <v>5484.81</v>
      </c>
      <c r="D111" s="183">
        <v>1792.91</v>
      </c>
      <c r="E111" s="184">
        <v>2100.64</v>
      </c>
      <c r="F111" s="277">
        <v>1736.84</v>
      </c>
      <c r="G111" s="662">
        <v>6762.44</v>
      </c>
      <c r="H111" s="252" t="s">
        <v>130</v>
      </c>
      <c r="I111" s="936">
        <v>455763.23</v>
      </c>
    </row>
    <row r="112" spans="1:12">
      <c r="A112" s="177"/>
      <c r="B112" s="177"/>
      <c r="D112" s="200"/>
      <c r="E112" s="201"/>
      <c r="F112" s="278"/>
      <c r="G112" s="662"/>
      <c r="H112" s="253" t="s">
        <v>132</v>
      </c>
      <c r="I112" s="937">
        <v>520166.03</v>
      </c>
    </row>
    <row r="113" spans="1:12" ht="16.5" thickTop="1" thickBot="1">
      <c r="B113" s="294" t="s">
        <v>137</v>
      </c>
      <c r="C113" s="295">
        <f>C102+C103+C104+C105+C106+C107+C108+C109+C110+C111</f>
        <v>101009.40000000001</v>
      </c>
      <c r="D113" s="203">
        <f>SUM(D102:D111)</f>
        <v>78787.25</v>
      </c>
      <c r="E113" s="204">
        <f>SUM(E102:E111)</f>
        <v>100996.74</v>
      </c>
      <c r="F113" s="286">
        <f>SUM(F102:F111)</f>
        <v>87428.91</v>
      </c>
      <c r="G113" s="286">
        <f>SUM(G102:G111)</f>
        <v>66275.959999999992</v>
      </c>
      <c r="H113" s="251"/>
    </row>
    <row r="114" spans="1:12" ht="15.75" thickTop="1">
      <c r="D114" s="206"/>
      <c r="H114" s="251"/>
    </row>
    <row r="115" spans="1:12">
      <c r="C115" s="239" t="s">
        <v>134</v>
      </c>
      <c r="D115" s="296">
        <f>G113-C113</f>
        <v>-34733.440000000017</v>
      </c>
      <c r="H115" s="300"/>
      <c r="I115" s="198" t="s">
        <v>134</v>
      </c>
      <c r="J115" s="293">
        <f>I112-I106</f>
        <v>185824.51</v>
      </c>
    </row>
    <row r="116" spans="1:12">
      <c r="C116" s="241" t="s">
        <v>138</v>
      </c>
      <c r="D116" s="297">
        <f>G113-D113</f>
        <v>-12511.290000000008</v>
      </c>
      <c r="H116" s="300"/>
      <c r="I116" s="198" t="s">
        <v>135</v>
      </c>
      <c r="J116" s="293">
        <f>I112-I107</f>
        <v>520166.03</v>
      </c>
    </row>
    <row r="117" spans="1:12">
      <c r="C117" s="240" t="s">
        <v>139</v>
      </c>
      <c r="D117" s="645">
        <f>G113-E113</f>
        <v>-34720.780000000013</v>
      </c>
      <c r="H117" s="300"/>
      <c r="I117" s="198" t="s">
        <v>136</v>
      </c>
      <c r="J117" s="293">
        <f>I112-I108</f>
        <v>312350.47000000003</v>
      </c>
    </row>
    <row r="118" spans="1:12">
      <c r="C118" s="213" t="s">
        <v>140</v>
      </c>
      <c r="D118" s="298">
        <f>G113-F113</f>
        <v>-21152.950000000012</v>
      </c>
      <c r="H118" s="300"/>
      <c r="I118" s="198" t="s">
        <v>138</v>
      </c>
      <c r="J118" s="195">
        <f>I112-I109</f>
        <v>114913.33000000002</v>
      </c>
    </row>
    <row r="119" spans="1:12">
      <c r="H119" s="300"/>
      <c r="I119" s="198" t="s">
        <v>139</v>
      </c>
      <c r="J119" s="235">
        <f>I112-I110</f>
        <v>79512.890000000014</v>
      </c>
    </row>
    <row r="120" spans="1:12">
      <c r="H120" s="251"/>
      <c r="I120" s="212" t="s">
        <v>140</v>
      </c>
      <c r="J120" s="235">
        <f>I112-I111</f>
        <v>64402.800000000047</v>
      </c>
    </row>
    <row r="121" spans="1:12" ht="15.75" thickBot="1">
      <c r="A121" s="256"/>
      <c r="B121" s="256"/>
      <c r="C121" s="256"/>
      <c r="D121" s="256"/>
      <c r="E121" s="256"/>
      <c r="F121" s="256"/>
      <c r="G121" s="299"/>
      <c r="H121" s="237"/>
      <c r="I121" s="223"/>
      <c r="J121" s="223"/>
      <c r="K121" s="223"/>
      <c r="L121" s="256"/>
    </row>
    <row r="122" spans="1:12" ht="15.75" thickTop="1">
      <c r="F122" s="224"/>
      <c r="H122" s="225"/>
    </row>
    <row r="123" spans="1:12">
      <c r="A123" s="1201" t="s">
        <v>343</v>
      </c>
      <c r="B123" s="1201"/>
      <c r="C123" s="1201"/>
      <c r="D123" s="1201"/>
      <c r="E123" s="1201"/>
      <c r="H123" s="266" t="s">
        <v>116</v>
      </c>
      <c r="I123" s="175"/>
    </row>
    <row r="124" spans="1:12">
      <c r="H124" s="267"/>
      <c r="I124" s="176" t="s">
        <v>344</v>
      </c>
    </row>
    <row r="125" spans="1:12">
      <c r="A125" s="177"/>
      <c r="B125" s="177"/>
      <c r="C125" s="178">
        <v>2019</v>
      </c>
      <c r="D125" s="179">
        <v>2022</v>
      </c>
      <c r="E125" s="180">
        <v>2023</v>
      </c>
      <c r="F125" s="265">
        <v>2024</v>
      </c>
      <c r="G125" s="265">
        <v>2025</v>
      </c>
      <c r="H125" s="226"/>
    </row>
    <row r="126" spans="1:12">
      <c r="A126" t="s">
        <v>118</v>
      </c>
      <c r="C126" s="291">
        <v>958.68</v>
      </c>
      <c r="D126" s="183">
        <v>450.41</v>
      </c>
      <c r="E126" s="316">
        <v>1490.91</v>
      </c>
      <c r="F126" s="277">
        <v>0</v>
      </c>
      <c r="G126" s="488">
        <v>615.70000000000005</v>
      </c>
      <c r="H126" s="226"/>
    </row>
    <row r="127" spans="1:12">
      <c r="A127" t="s">
        <v>119</v>
      </c>
      <c r="C127" s="291">
        <v>0</v>
      </c>
      <c r="D127" s="183">
        <v>0</v>
      </c>
      <c r="E127" s="316">
        <v>0</v>
      </c>
      <c r="F127" s="277">
        <v>0</v>
      </c>
      <c r="G127" s="488">
        <v>0</v>
      </c>
      <c r="H127" s="246" t="s">
        <v>120</v>
      </c>
      <c r="I127" s="938">
        <v>384151.59</v>
      </c>
      <c r="J127" s="273"/>
      <c r="K127" s="188"/>
    </row>
    <row r="128" spans="1:12">
      <c r="A128" t="s">
        <v>121</v>
      </c>
      <c r="C128" s="291">
        <v>27473.18</v>
      </c>
      <c r="D128" s="183">
        <v>11637.73</v>
      </c>
      <c r="E128" s="316">
        <v>16523.349999999999</v>
      </c>
      <c r="F128" s="277">
        <v>16077.89</v>
      </c>
      <c r="G128" s="488">
        <v>0</v>
      </c>
      <c r="H128" s="247" t="s">
        <v>122</v>
      </c>
      <c r="I128" s="939">
        <v>301.14999999999998</v>
      </c>
      <c r="J128" s="271"/>
      <c r="K128" s="188"/>
    </row>
    <row r="129" spans="1:12">
      <c r="A129" t="s">
        <v>123</v>
      </c>
      <c r="C129" s="291">
        <v>2052.73</v>
      </c>
      <c r="D129" s="183">
        <v>3923.64</v>
      </c>
      <c r="E129" s="316">
        <v>0</v>
      </c>
      <c r="F129" s="277">
        <v>3675.45</v>
      </c>
      <c r="G129" s="488">
        <v>0</v>
      </c>
      <c r="H129" s="248" t="s">
        <v>124</v>
      </c>
      <c r="I129" s="940">
        <v>441672.87</v>
      </c>
      <c r="J129" s="232"/>
    </row>
    <row r="130" spans="1:12">
      <c r="A130" t="s">
        <v>125</v>
      </c>
      <c r="C130" s="291">
        <v>1330.91</v>
      </c>
      <c r="D130" s="183">
        <v>2886.32</v>
      </c>
      <c r="E130" s="316">
        <v>4489.42</v>
      </c>
      <c r="F130" s="277">
        <v>1670.52</v>
      </c>
      <c r="G130" s="488">
        <v>640.82000000000005</v>
      </c>
      <c r="H130" s="246" t="s">
        <v>126</v>
      </c>
      <c r="I130" s="938">
        <v>557254.30000000005</v>
      </c>
      <c r="J130" s="273"/>
      <c r="K130" s="193"/>
    </row>
    <row r="131" spans="1:12">
      <c r="A131" t="s">
        <v>127</v>
      </c>
      <c r="C131" s="291">
        <v>0</v>
      </c>
      <c r="D131" s="183">
        <v>86.36</v>
      </c>
      <c r="E131" s="316">
        <v>172.73</v>
      </c>
      <c r="F131" s="277">
        <v>44.55</v>
      </c>
      <c r="G131" s="488">
        <v>0</v>
      </c>
      <c r="H131" s="249" t="s">
        <v>128</v>
      </c>
      <c r="I131" s="941">
        <v>567146.59</v>
      </c>
    </row>
    <row r="132" spans="1:12">
      <c r="A132" t="s">
        <v>129</v>
      </c>
      <c r="C132" s="291">
        <v>3481.19</v>
      </c>
      <c r="D132" s="183">
        <v>1845.46</v>
      </c>
      <c r="E132" s="316">
        <v>1551.45</v>
      </c>
      <c r="F132" s="277">
        <v>1403.17</v>
      </c>
      <c r="G132" s="488">
        <v>1217.98</v>
      </c>
      <c r="H132" s="252" t="s">
        <v>130</v>
      </c>
      <c r="I132" s="942">
        <v>564930.53</v>
      </c>
    </row>
    <row r="133" spans="1:12">
      <c r="A133" t="s">
        <v>131</v>
      </c>
      <c r="C133" s="291">
        <v>42871.01</v>
      </c>
      <c r="D133" s="183">
        <v>51323.24</v>
      </c>
      <c r="E133" s="316">
        <v>49258.15</v>
      </c>
      <c r="F133" s="277">
        <v>54425.61</v>
      </c>
      <c r="G133" s="488">
        <v>51895.48</v>
      </c>
      <c r="H133" s="253" t="s">
        <v>132</v>
      </c>
      <c r="I133" s="937">
        <v>589628.93000000005</v>
      </c>
    </row>
    <row r="134" spans="1:12">
      <c r="A134" t="s">
        <v>133</v>
      </c>
      <c r="C134" s="291">
        <v>1402.27</v>
      </c>
      <c r="D134" s="183">
        <v>2088.64</v>
      </c>
      <c r="E134" s="316">
        <v>2217.27</v>
      </c>
      <c r="F134" s="277">
        <v>1987.27</v>
      </c>
      <c r="G134" s="488">
        <v>1901.61</v>
      </c>
      <c r="H134" s="226"/>
    </row>
    <row r="135" spans="1:12">
      <c r="A135" t="s">
        <v>8</v>
      </c>
      <c r="C135" s="291">
        <v>5269.55</v>
      </c>
      <c r="D135" s="183">
        <v>1973.55</v>
      </c>
      <c r="E135" s="316">
        <v>2284.4</v>
      </c>
      <c r="F135" s="277">
        <v>1775.77</v>
      </c>
      <c r="G135" s="488">
        <v>6649.92</v>
      </c>
      <c r="H135" s="226"/>
      <c r="I135" s="198" t="s">
        <v>134</v>
      </c>
      <c r="J135" s="293">
        <f>I133-I127</f>
        <v>205477.34000000003</v>
      </c>
    </row>
    <row r="136" spans="1:12" ht="15.75" thickBot="1">
      <c r="A136" s="177"/>
      <c r="B136" s="177"/>
      <c r="D136" s="200"/>
      <c r="E136" s="316" t="s">
        <v>64</v>
      </c>
      <c r="F136" s="278"/>
      <c r="H136" s="226"/>
      <c r="I136" s="198" t="s">
        <v>135</v>
      </c>
      <c r="J136" s="293">
        <f>I133-I128</f>
        <v>589327.78</v>
      </c>
    </row>
    <row r="137" spans="1:12" ht="16.5" thickTop="1" thickBot="1">
      <c r="B137" s="294" t="s">
        <v>137</v>
      </c>
      <c r="C137" s="317">
        <f>C126+C127+C128+C129+C130+C131+C133+C132+C134+C135</f>
        <v>84839.520000000019</v>
      </c>
      <c r="D137" s="203">
        <f>SUM(D126:D135)</f>
        <v>76215.350000000006</v>
      </c>
      <c r="E137" s="204">
        <f>SUM(E126:E135)</f>
        <v>77987.680000000008</v>
      </c>
      <c r="F137" s="286">
        <f>SUM(F126:F135)</f>
        <v>81060.23000000001</v>
      </c>
      <c r="G137" s="286">
        <f>SUM(G126:G135)</f>
        <v>62921.51</v>
      </c>
      <c r="H137" s="226"/>
      <c r="I137" s="198" t="s">
        <v>136</v>
      </c>
      <c r="J137" s="293">
        <f>I133-I129</f>
        <v>147956.06000000006</v>
      </c>
    </row>
    <row r="138" spans="1:12" ht="15.75" thickTop="1">
      <c r="D138" s="206"/>
      <c r="H138" s="226"/>
      <c r="I138" s="198" t="s">
        <v>138</v>
      </c>
      <c r="J138" s="195">
        <f>I133-I130</f>
        <v>32374.630000000005</v>
      </c>
    </row>
    <row r="139" spans="1:12">
      <c r="C139" s="239" t="s">
        <v>134</v>
      </c>
      <c r="D139" s="296">
        <f>G137-C137</f>
        <v>-21918.010000000017</v>
      </c>
      <c r="H139" s="226"/>
      <c r="I139" s="198" t="s">
        <v>139</v>
      </c>
      <c r="J139" s="500">
        <f>I133-I131</f>
        <v>22482.340000000084</v>
      </c>
    </row>
    <row r="140" spans="1:12">
      <c r="C140" s="241" t="s">
        <v>138</v>
      </c>
      <c r="D140" s="318">
        <f>G137-D137</f>
        <v>-13293.840000000004</v>
      </c>
      <c r="H140" s="226"/>
      <c r="I140" s="212" t="s">
        <v>140</v>
      </c>
      <c r="J140" s="500">
        <f>I133-I132</f>
        <v>24698.400000000023</v>
      </c>
    </row>
    <row r="141" spans="1:12">
      <c r="C141" s="240" t="s">
        <v>139</v>
      </c>
      <c r="D141" s="682">
        <f>G137-E137</f>
        <v>-15066.170000000006</v>
      </c>
      <c r="H141" s="226"/>
    </row>
    <row r="142" spans="1:12">
      <c r="C142" s="213" t="s">
        <v>140</v>
      </c>
      <c r="D142" s="683">
        <f>G137-F137</f>
        <v>-18138.720000000008</v>
      </c>
      <c r="G142" s="215"/>
    </row>
    <row r="143" spans="1:12">
      <c r="G143" s="215"/>
    </row>
    <row r="144" spans="1:12" ht="15.75" thickBot="1">
      <c r="A144" s="256"/>
      <c r="B144" s="256"/>
      <c r="C144" s="256"/>
      <c r="D144" s="256"/>
      <c r="E144" s="256"/>
      <c r="F144" s="256"/>
      <c r="G144" s="290"/>
      <c r="H144" s="257"/>
      <c r="I144" s="256"/>
      <c r="J144" s="256"/>
      <c r="K144" s="256"/>
      <c r="L144" s="256"/>
    </row>
    <row r="145" spans="1:11" ht="15.75" thickTop="1">
      <c r="F145" s="224"/>
      <c r="H145" s="225"/>
    </row>
    <row r="146" spans="1:11">
      <c r="A146" s="1201" t="s">
        <v>345</v>
      </c>
      <c r="B146" s="1201"/>
      <c r="C146" s="1201"/>
      <c r="D146" s="1201"/>
      <c r="E146" s="1201"/>
      <c r="H146" s="266" t="s">
        <v>116</v>
      </c>
      <c r="I146" s="175"/>
    </row>
    <row r="147" spans="1:11">
      <c r="H147" s="267"/>
      <c r="I147" s="176" t="s">
        <v>346</v>
      </c>
    </row>
    <row r="148" spans="1:11">
      <c r="A148" s="177"/>
      <c r="B148" s="177"/>
      <c r="C148" s="178">
        <v>2019</v>
      </c>
      <c r="D148" s="179">
        <v>2022</v>
      </c>
      <c r="E148" s="180">
        <v>2023</v>
      </c>
      <c r="F148" s="265">
        <v>2024</v>
      </c>
      <c r="G148" s="265">
        <v>2025</v>
      </c>
      <c r="H148" s="226"/>
    </row>
    <row r="149" spans="1:11">
      <c r="A149" t="s">
        <v>118</v>
      </c>
      <c r="C149" s="291">
        <v>4359.21</v>
      </c>
      <c r="D149" s="183">
        <v>4177.6899999999996</v>
      </c>
      <c r="E149" s="316">
        <v>4760.97</v>
      </c>
      <c r="F149" s="277">
        <v>4991.74</v>
      </c>
      <c r="G149" s="681">
        <v>5784.5</v>
      </c>
      <c r="H149" s="226"/>
    </row>
    <row r="150" spans="1:11">
      <c r="A150" t="s">
        <v>119</v>
      </c>
      <c r="C150" s="291">
        <v>157.02000000000001</v>
      </c>
      <c r="D150" s="183">
        <v>123.97</v>
      </c>
      <c r="E150" s="316">
        <v>247.93</v>
      </c>
      <c r="F150" s="277">
        <v>220.04</v>
      </c>
      <c r="G150" s="681">
        <v>1277.47</v>
      </c>
      <c r="H150" s="246" t="s">
        <v>120</v>
      </c>
      <c r="I150" s="938">
        <v>311327.69</v>
      </c>
      <c r="J150" s="273"/>
      <c r="K150" s="188"/>
    </row>
    <row r="151" spans="1:11">
      <c r="A151" t="s">
        <v>121</v>
      </c>
      <c r="C151" s="291">
        <v>16193.64</v>
      </c>
      <c r="D151" s="183">
        <v>10205.27</v>
      </c>
      <c r="E151" s="316">
        <v>11732.95</v>
      </c>
      <c r="F151" s="277">
        <v>11125.32</v>
      </c>
      <c r="G151" s="681">
        <v>0</v>
      </c>
      <c r="H151" s="247" t="s">
        <v>122</v>
      </c>
      <c r="I151" s="939">
        <v>53667.02</v>
      </c>
      <c r="J151" s="271"/>
      <c r="K151" s="188"/>
    </row>
    <row r="152" spans="1:11">
      <c r="A152" t="s">
        <v>123</v>
      </c>
      <c r="C152" s="291">
        <v>1363.64</v>
      </c>
      <c r="D152" s="183">
        <v>4064.73</v>
      </c>
      <c r="E152" s="316">
        <v>2832.73</v>
      </c>
      <c r="F152" s="277">
        <v>0</v>
      </c>
      <c r="G152" s="681">
        <v>3417.73</v>
      </c>
      <c r="H152" s="248" t="s">
        <v>124</v>
      </c>
      <c r="I152" s="940">
        <v>224735.34</v>
      </c>
      <c r="J152" s="232"/>
    </row>
    <row r="153" spans="1:11">
      <c r="A153" t="s">
        <v>125</v>
      </c>
      <c r="C153" s="291">
        <v>3420.6</v>
      </c>
      <c r="D153" s="183">
        <v>10516.18</v>
      </c>
      <c r="E153" s="316">
        <v>16280.79</v>
      </c>
      <c r="F153" s="277">
        <v>14217.97</v>
      </c>
      <c r="G153" s="681">
        <v>16189.1</v>
      </c>
      <c r="H153" s="246" t="s">
        <v>126</v>
      </c>
      <c r="I153" s="938">
        <v>321299.26</v>
      </c>
      <c r="J153" s="273"/>
      <c r="K153" s="193"/>
    </row>
    <row r="154" spans="1:11">
      <c r="A154" t="s">
        <v>127</v>
      </c>
      <c r="C154" s="291">
        <v>81.819999999999993</v>
      </c>
      <c r="D154" s="183">
        <v>199.09</v>
      </c>
      <c r="E154" s="316">
        <v>1107.95</v>
      </c>
      <c r="F154" s="277">
        <v>208.73</v>
      </c>
      <c r="G154" s="681">
        <v>3238.41</v>
      </c>
      <c r="H154" s="249" t="s">
        <v>128</v>
      </c>
      <c r="I154" s="943">
        <v>370046.42</v>
      </c>
    </row>
    <row r="155" spans="1:11">
      <c r="A155" t="s">
        <v>129</v>
      </c>
      <c r="C155" s="291">
        <v>3969.28</v>
      </c>
      <c r="D155" s="183">
        <v>1924.53</v>
      </c>
      <c r="E155" s="316">
        <v>1911.09</v>
      </c>
      <c r="F155" s="277">
        <v>2010.74</v>
      </c>
      <c r="G155" s="681">
        <v>1480.4</v>
      </c>
      <c r="H155" s="252" t="s">
        <v>130</v>
      </c>
      <c r="I155" s="942">
        <v>386133.59</v>
      </c>
    </row>
    <row r="156" spans="1:11">
      <c r="A156" t="s">
        <v>131</v>
      </c>
      <c r="C156" s="291">
        <v>38561.480000000003</v>
      </c>
      <c r="D156" s="183">
        <v>48279.1</v>
      </c>
      <c r="E156" s="316">
        <v>64007.83</v>
      </c>
      <c r="F156" s="277">
        <v>47616.19</v>
      </c>
      <c r="G156" s="681">
        <v>48303.35</v>
      </c>
      <c r="H156" s="253" t="s">
        <v>132</v>
      </c>
      <c r="I156" s="937">
        <v>443673.96</v>
      </c>
    </row>
    <row r="157" spans="1:11">
      <c r="A157" t="s">
        <v>133</v>
      </c>
      <c r="C157" s="291">
        <v>1765</v>
      </c>
      <c r="D157" s="183">
        <v>2163.64</v>
      </c>
      <c r="E157" s="316">
        <v>2127.27</v>
      </c>
      <c r="F157" s="277">
        <v>1721.66</v>
      </c>
      <c r="G157" s="681">
        <v>1716.83</v>
      </c>
      <c r="H157" s="226"/>
    </row>
    <row r="158" spans="1:11">
      <c r="A158" t="s">
        <v>8</v>
      </c>
      <c r="C158" s="319">
        <v>5768.32</v>
      </c>
      <c r="D158" s="183">
        <v>1924.64</v>
      </c>
      <c r="E158" s="316">
        <v>1916.34</v>
      </c>
      <c r="F158" s="277">
        <v>1730.07</v>
      </c>
      <c r="G158" s="681">
        <v>8519.11</v>
      </c>
      <c r="H158" s="251"/>
      <c r="I158" s="198" t="s">
        <v>134</v>
      </c>
      <c r="J158" s="293">
        <f>I156-I150</f>
        <v>132346.27000000002</v>
      </c>
    </row>
    <row r="159" spans="1:11" ht="15.75" thickBot="1">
      <c r="A159" s="177"/>
      <c r="B159" s="177"/>
      <c r="C159" s="320"/>
      <c r="D159" s="200"/>
      <c r="E159" s="201"/>
      <c r="F159" s="278"/>
      <c r="H159" s="251"/>
      <c r="I159" s="198" t="s">
        <v>135</v>
      </c>
      <c r="J159" s="293">
        <f>I156-I151</f>
        <v>390006.94</v>
      </c>
    </row>
    <row r="160" spans="1:11" ht="16.5" thickTop="1" thickBot="1">
      <c r="B160" s="294" t="s">
        <v>137</v>
      </c>
      <c r="C160" s="317">
        <f>C149+C150+C151+C153+C152+C154+C155+C156+C157+C158</f>
        <v>75640.010000000009</v>
      </c>
      <c r="D160" s="203">
        <f>SUM(D149:D158)</f>
        <v>83578.84</v>
      </c>
      <c r="E160" s="204">
        <f>SUM(E149:E158)</f>
        <v>106925.84999999999</v>
      </c>
      <c r="F160" s="286">
        <f>SUM(F149:F158)</f>
        <v>83842.460000000021</v>
      </c>
      <c r="G160" s="286">
        <f>SUM(G149:G158)</f>
        <v>89926.900000000009</v>
      </c>
      <c r="H160" s="251"/>
      <c r="I160" s="198" t="s">
        <v>136</v>
      </c>
      <c r="J160" s="293">
        <f>I156-I152</f>
        <v>218938.62000000002</v>
      </c>
    </row>
    <row r="161" spans="1:12" ht="15.75" thickTop="1">
      <c r="D161" s="206"/>
      <c r="H161" s="251"/>
      <c r="I161" s="198" t="s">
        <v>138</v>
      </c>
      <c r="J161" s="195">
        <f>I156-I153</f>
        <v>122374.70000000001</v>
      </c>
    </row>
    <row r="162" spans="1:12">
      <c r="C162" s="239" t="s">
        <v>134</v>
      </c>
      <c r="D162" s="236">
        <f>G160-C160</f>
        <v>14286.89</v>
      </c>
      <c r="H162" s="251"/>
      <c r="I162" s="198" t="s">
        <v>139</v>
      </c>
      <c r="J162" s="235">
        <f>I156-I154</f>
        <v>73627.540000000037</v>
      </c>
    </row>
    <row r="163" spans="1:12">
      <c r="A163" s="321"/>
      <c r="B163" s="321"/>
      <c r="C163" s="241" t="s">
        <v>138</v>
      </c>
      <c r="D163" s="684">
        <f>G160-D160</f>
        <v>6348.0600000000122</v>
      </c>
      <c r="E163" s="321"/>
      <c r="F163" s="321"/>
      <c r="H163" s="322"/>
      <c r="I163" s="212" t="s">
        <v>140</v>
      </c>
      <c r="J163" s="235">
        <f>I156-I155</f>
        <v>57540.369999999995</v>
      </c>
    </row>
    <row r="164" spans="1:12">
      <c r="C164" s="240" t="s">
        <v>139</v>
      </c>
      <c r="D164" s="645">
        <f>G160-E160</f>
        <v>-16998.949999999983</v>
      </c>
      <c r="H164" s="226"/>
    </row>
    <row r="165" spans="1:12">
      <c r="A165" s="256"/>
      <c r="B165" s="256"/>
      <c r="C165" s="323" t="s">
        <v>140</v>
      </c>
      <c r="D165" s="1012">
        <f>G160-F160</f>
        <v>6084.4399999999878</v>
      </c>
      <c r="E165" s="256"/>
      <c r="F165" s="256"/>
      <c r="G165" s="299"/>
      <c r="H165" s="237"/>
      <c r="I165" s="223"/>
      <c r="J165" s="223"/>
      <c r="K165" s="223"/>
      <c r="L165" s="256"/>
    </row>
    <row r="166" spans="1:12" ht="15.75" thickTop="1"/>
  </sheetData>
  <mergeCells count="5">
    <mergeCell ref="A99:E99"/>
    <mergeCell ref="A123:E123"/>
    <mergeCell ref="A146:E146"/>
    <mergeCell ref="B83:C83"/>
    <mergeCell ref="B84:C84"/>
  </mergeCells>
  <pageMargins left="0.7" right="0.7" top="0.75" bottom="0.75" header="0.3" footer="0.3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D2CDA-D042-4023-8868-83A8D75907F2}">
  <sheetPr>
    <pageSetUpPr fitToPage="1"/>
  </sheetPr>
  <dimension ref="A1:M163"/>
  <sheetViews>
    <sheetView tabSelected="1" topLeftCell="B81" workbookViewId="0">
      <selection activeCell="F99" sqref="F99"/>
    </sheetView>
  </sheetViews>
  <sheetFormatPr defaultColWidth="9.140625" defaultRowHeight="15"/>
  <cols>
    <col min="1" max="1" width="15.140625" customWidth="1"/>
    <col min="2" max="2" width="29" customWidth="1"/>
    <col min="3" max="3" width="26.7109375" customWidth="1"/>
    <col min="4" max="4" width="40.42578125" customWidth="1"/>
    <col min="5" max="5" width="35.42578125" customWidth="1"/>
    <col min="6" max="6" width="36.28515625" customWidth="1"/>
    <col min="7" max="7" width="37.140625" customWidth="1"/>
    <col min="8" max="8" width="23" customWidth="1"/>
    <col min="9" max="9" width="31.140625" customWidth="1"/>
    <col min="11" max="11" width="13.7109375" bestFit="1" customWidth="1"/>
  </cols>
  <sheetData>
    <row r="1" spans="1:9" ht="37.5" customHeight="1">
      <c r="A1" s="1028" t="s">
        <v>347</v>
      </c>
      <c r="B1" s="98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 spans="1:9" ht="28.5">
      <c r="A2" s="6">
        <v>1</v>
      </c>
      <c r="B2" s="980" t="s">
        <v>337</v>
      </c>
      <c r="C2" s="8" t="s">
        <v>9</v>
      </c>
      <c r="D2" s="602"/>
      <c r="E2" s="713"/>
      <c r="F2" s="923" t="s">
        <v>337</v>
      </c>
      <c r="G2" s="969" t="s">
        <v>348</v>
      </c>
      <c r="H2" s="923" t="s">
        <v>349</v>
      </c>
      <c r="I2" s="11" t="s">
        <v>9</v>
      </c>
    </row>
    <row r="3" spans="1:9" ht="43.5" customHeight="1">
      <c r="A3" s="12">
        <v>2</v>
      </c>
      <c r="B3" s="1206"/>
      <c r="C3" s="1207"/>
      <c r="D3" s="923" t="s">
        <v>337</v>
      </c>
      <c r="E3" s="923" t="s">
        <v>337</v>
      </c>
      <c r="F3" s="713"/>
      <c r="G3" s="732"/>
      <c r="H3" s="1006" t="s">
        <v>350</v>
      </c>
      <c r="I3" s="840" t="s">
        <v>9</v>
      </c>
    </row>
    <row r="4" spans="1:9" ht="23.25" customHeight="1">
      <c r="A4" s="16">
        <v>3</v>
      </c>
      <c r="B4" s="686" t="s">
        <v>351</v>
      </c>
      <c r="C4" s="499" t="s">
        <v>351</v>
      </c>
      <c r="D4" s="686" t="s">
        <v>351</v>
      </c>
      <c r="E4" s="686" t="s">
        <v>351</v>
      </c>
      <c r="F4" s="499" t="s">
        <v>351</v>
      </c>
      <c r="G4" s="1005"/>
      <c r="H4" s="1045" t="s">
        <v>352</v>
      </c>
      <c r="I4" s="1014" t="s">
        <v>353</v>
      </c>
    </row>
    <row r="5" spans="1:9" ht="23.25" customHeight="1">
      <c r="A5" s="16">
        <v>4</v>
      </c>
      <c r="B5" s="686" t="s">
        <v>351</v>
      </c>
      <c r="C5" s="499" t="s">
        <v>351</v>
      </c>
      <c r="D5" s="686" t="s">
        <v>351</v>
      </c>
      <c r="E5" s="686" t="s">
        <v>351</v>
      </c>
      <c r="F5" s="499" t="s">
        <v>351</v>
      </c>
      <c r="G5" s="673"/>
      <c r="H5" s="1004"/>
      <c r="I5" s="1013" t="s">
        <v>353</v>
      </c>
    </row>
    <row r="6" spans="1:9" ht="21" customHeight="1">
      <c r="A6" s="16">
        <v>5</v>
      </c>
      <c r="B6" s="776"/>
      <c r="C6" s="458"/>
      <c r="D6" s="1011"/>
      <c r="E6" s="458"/>
      <c r="F6" s="458"/>
      <c r="G6" s="8" t="s">
        <v>9</v>
      </c>
      <c r="H6" s="21" t="s">
        <v>9</v>
      </c>
      <c r="I6" s="7" t="s">
        <v>9</v>
      </c>
    </row>
    <row r="7" spans="1:9" ht="39.75" customHeight="1">
      <c r="A7" s="5">
        <v>6</v>
      </c>
      <c r="B7" s="776"/>
      <c r="C7" s="730"/>
      <c r="D7" s="1017" t="s">
        <v>354</v>
      </c>
      <c r="E7" s="1008"/>
      <c r="F7" s="1022" t="s">
        <v>355</v>
      </c>
      <c r="G7" s="982"/>
      <c r="H7" s="5"/>
      <c r="I7" s="11" t="s">
        <v>9</v>
      </c>
    </row>
    <row r="8" spans="1:9" ht="50.25" customHeight="1">
      <c r="A8" s="12">
        <v>7</v>
      </c>
      <c r="B8" s="23" t="s">
        <v>9</v>
      </c>
      <c r="C8" s="1032"/>
      <c r="D8" s="1026" t="s">
        <v>356</v>
      </c>
      <c r="E8" s="352"/>
      <c r="F8" s="1024" t="s">
        <v>9</v>
      </c>
      <c r="G8" s="1023" t="s">
        <v>357</v>
      </c>
      <c r="H8" s="26" t="s">
        <v>9</v>
      </c>
      <c r="I8" s="15" t="s">
        <v>9</v>
      </c>
    </row>
    <row r="9" spans="1:9" ht="28.5">
      <c r="A9" s="5">
        <v>8</v>
      </c>
      <c r="B9" s="1025" t="s">
        <v>358</v>
      </c>
      <c r="C9" s="982"/>
      <c r="D9" s="982"/>
      <c r="E9" s="335"/>
      <c r="F9" s="984" t="s">
        <v>359</v>
      </c>
      <c r="G9" s="982"/>
      <c r="H9" s="1004"/>
      <c r="I9" s="11" t="s">
        <v>9</v>
      </c>
    </row>
    <row r="10" spans="1:9" ht="27" customHeight="1">
      <c r="A10" s="12">
        <v>9</v>
      </c>
      <c r="B10" s="840" t="s">
        <v>9</v>
      </c>
      <c r="C10" s="26" t="s">
        <v>9</v>
      </c>
      <c r="D10" s="516"/>
      <c r="E10" s="983"/>
      <c r="F10" s="25" t="s">
        <v>9</v>
      </c>
      <c r="G10" s="25" t="s">
        <v>9</v>
      </c>
      <c r="H10" s="1015"/>
      <c r="I10" s="1016" t="s">
        <v>353</v>
      </c>
    </row>
    <row r="11" spans="1:9" ht="36" customHeight="1">
      <c r="A11" s="5">
        <v>10</v>
      </c>
      <c r="B11" s="357"/>
      <c r="C11" s="335"/>
      <c r="D11" s="516"/>
      <c r="E11" s="983"/>
      <c r="F11" s="170"/>
      <c r="G11" s="30" t="s">
        <v>9</v>
      </c>
      <c r="H11" s="1040" t="s">
        <v>360</v>
      </c>
      <c r="I11" s="1041"/>
    </row>
    <row r="12" spans="1:9" ht="27" customHeight="1">
      <c r="A12" s="12">
        <v>11</v>
      </c>
      <c r="B12" s="357"/>
      <c r="C12" s="352"/>
      <c r="D12" s="352"/>
      <c r="E12" s="535"/>
      <c r="F12" s="150"/>
      <c r="G12" s="35" t="s">
        <v>9</v>
      </c>
      <c r="H12" s="1042" t="s">
        <v>361</v>
      </c>
      <c r="I12" s="1041"/>
    </row>
    <row r="13" spans="1:9" ht="27" customHeight="1">
      <c r="A13" s="5">
        <v>12</v>
      </c>
      <c r="B13" s="1031"/>
      <c r="C13" s="170"/>
      <c r="D13" s="170"/>
      <c r="E13" s="170"/>
      <c r="F13" s="170"/>
      <c r="G13" s="44"/>
      <c r="H13" s="45"/>
      <c r="I13" s="46"/>
    </row>
    <row r="14" spans="1:9" ht="28.5" customHeight="1">
      <c r="A14" s="12">
        <v>13</v>
      </c>
      <c r="B14" s="52"/>
      <c r="C14" s="48"/>
      <c r="D14" s="918" t="s">
        <v>362</v>
      </c>
      <c r="E14" s="49"/>
      <c r="F14" s="1053"/>
      <c r="G14" s="1054" t="s">
        <v>363</v>
      </c>
      <c r="H14" s="51"/>
      <c r="I14" s="48"/>
    </row>
    <row r="15" spans="1:9" ht="28.5" customHeight="1">
      <c r="A15" s="5">
        <v>14</v>
      </c>
      <c r="B15" s="1047"/>
      <c r="C15" s="331"/>
      <c r="D15" s="43"/>
      <c r="E15" s="44"/>
      <c r="F15" s="53"/>
      <c r="G15" s="44"/>
      <c r="H15" s="1043" t="s">
        <v>364</v>
      </c>
      <c r="I15" s="44"/>
    </row>
    <row r="16" spans="1:9" ht="27.75" customHeight="1">
      <c r="A16" s="12">
        <v>15</v>
      </c>
      <c r="B16" s="61"/>
      <c r="C16" s="56"/>
      <c r="D16" s="660"/>
      <c r="E16" s="325"/>
      <c r="F16" s="807"/>
      <c r="G16" s="325"/>
      <c r="H16" s="60"/>
      <c r="I16" s="55"/>
    </row>
    <row r="17" spans="1:9" ht="27.75" customHeight="1">
      <c r="A17" s="16">
        <v>16</v>
      </c>
      <c r="B17" s="61"/>
      <c r="C17" s="58"/>
      <c r="D17" s="1065" t="s">
        <v>365</v>
      </c>
      <c r="E17" s="458"/>
      <c r="F17" s="150"/>
      <c r="G17" s="64"/>
      <c r="H17" s="342"/>
      <c r="I17" s="61"/>
    </row>
    <row r="18" spans="1:9" ht="27.75" customHeight="1">
      <c r="A18" s="16">
        <v>17</v>
      </c>
      <c r="B18" s="65"/>
      <c r="C18" s="66"/>
      <c r="D18" s="67"/>
      <c r="E18" s="67"/>
      <c r="F18" s="67"/>
      <c r="G18" s="68"/>
      <c r="H18" s="1043" t="s">
        <v>366</v>
      </c>
      <c r="I18" s="68"/>
    </row>
    <row r="19" spans="1:9" ht="30">
      <c r="A19" s="16">
        <v>18</v>
      </c>
      <c r="B19" s="1029" t="s">
        <v>367</v>
      </c>
      <c r="C19" s="970" t="s">
        <v>368</v>
      </c>
      <c r="D19" s="971" t="s">
        <v>369</v>
      </c>
      <c r="E19" s="700" t="s">
        <v>370</v>
      </c>
      <c r="F19" s="70"/>
      <c r="G19" s="67"/>
      <c r="H19" s="67"/>
      <c r="I19" s="67"/>
    </row>
    <row r="20" spans="1:9" ht="28.5">
      <c r="A20" s="16">
        <v>19</v>
      </c>
      <c r="B20" s="1027"/>
      <c r="C20" s="970" t="s">
        <v>368</v>
      </c>
      <c r="D20" s="971" t="s">
        <v>369</v>
      </c>
      <c r="E20" s="700" t="s">
        <v>370</v>
      </c>
      <c r="F20" s="1021" t="s">
        <v>371</v>
      </c>
      <c r="G20" s="91"/>
      <c r="H20" s="67"/>
      <c r="I20" s="67"/>
    </row>
    <row r="21" spans="1:9" ht="24.75" customHeight="1">
      <c r="A21" s="5">
        <v>20</v>
      </c>
      <c r="B21" s="1065" t="s">
        <v>365</v>
      </c>
      <c r="C21" s="73"/>
      <c r="D21" s="621"/>
      <c r="E21" s="342"/>
      <c r="F21" s="1020" t="s">
        <v>372</v>
      </c>
      <c r="G21" s="150"/>
      <c r="H21" s="150"/>
      <c r="I21" s="61"/>
    </row>
    <row r="22" spans="1:9" ht="25.5" customHeight="1">
      <c r="A22" s="12">
        <v>21</v>
      </c>
      <c r="B22" s="1082"/>
      <c r="C22" s="1082"/>
      <c r="D22" s="74"/>
      <c r="E22" s="1091" t="s">
        <v>373</v>
      </c>
      <c r="F22" s="1020" t="s">
        <v>372</v>
      </c>
      <c r="G22" s="150"/>
      <c r="H22" s="150"/>
      <c r="I22" s="61"/>
    </row>
    <row r="23" spans="1:9" ht="25.5" customHeight="1">
      <c r="A23" s="16">
        <v>22</v>
      </c>
      <c r="B23" s="1039"/>
      <c r="C23" s="78"/>
      <c r="D23" s="1018" t="s">
        <v>374</v>
      </c>
      <c r="E23" s="150"/>
      <c r="F23" s="1019" t="s">
        <v>375</v>
      </c>
      <c r="G23" s="150"/>
      <c r="H23" s="150"/>
      <c r="I23" s="61"/>
    </row>
    <row r="24" spans="1:9" ht="28.5" customHeight="1">
      <c r="A24" s="16">
        <v>23</v>
      </c>
      <c r="B24" s="1064"/>
      <c r="C24" s="124"/>
      <c r="D24" s="567" t="s">
        <v>376</v>
      </c>
      <c r="E24" s="987" t="s">
        <v>377</v>
      </c>
      <c r="F24" s="987" t="s">
        <v>378</v>
      </c>
      <c r="G24" s="969" t="s">
        <v>379</v>
      </c>
      <c r="H24" s="150"/>
      <c r="I24" s="61"/>
    </row>
    <row r="25" spans="1:9" ht="30.75" customHeight="1">
      <c r="A25" s="16">
        <v>24</v>
      </c>
      <c r="B25" s="357"/>
      <c r="C25" s="1068" t="s">
        <v>380</v>
      </c>
      <c r="D25" s="150"/>
      <c r="E25" s="150"/>
      <c r="F25" s="150"/>
      <c r="G25" s="170"/>
      <c r="H25" s="1087" t="s">
        <v>381</v>
      </c>
      <c r="I25" s="61"/>
    </row>
    <row r="26" spans="1:9" ht="24" customHeight="1">
      <c r="A26" s="16">
        <v>25</v>
      </c>
      <c r="B26" s="357"/>
      <c r="C26" s="1069" t="s">
        <v>380</v>
      </c>
      <c r="D26" s="150"/>
      <c r="E26" s="150"/>
      <c r="F26" s="150"/>
      <c r="G26" s="913"/>
      <c r="H26" s="1088" t="s">
        <v>382</v>
      </c>
      <c r="I26" s="80"/>
    </row>
    <row r="27" spans="1:9" ht="26.25" customHeight="1">
      <c r="A27" s="16">
        <v>26</v>
      </c>
      <c r="B27" s="155"/>
      <c r="C27" s="357"/>
      <c r="D27" s="150"/>
      <c r="E27" s="150"/>
      <c r="F27" s="150"/>
      <c r="G27" s="1044"/>
      <c r="H27" s="83"/>
      <c r="I27" s="80"/>
    </row>
    <row r="28" spans="1:9" ht="25.5" customHeight="1">
      <c r="A28" s="16">
        <v>27</v>
      </c>
      <c r="B28" s="914"/>
      <c r="C28" s="912"/>
      <c r="D28" s="1010"/>
      <c r="E28" s="1010"/>
      <c r="F28" s="1092" t="s">
        <v>383</v>
      </c>
      <c r="G28" s="1093" t="s">
        <v>384</v>
      </c>
      <c r="H28" s="150"/>
      <c r="I28" s="61"/>
    </row>
    <row r="29" spans="1:9" ht="39" customHeight="1">
      <c r="A29" s="16">
        <v>28</v>
      </c>
      <c r="B29" s="11"/>
      <c r="C29" s="1009"/>
      <c r="D29" s="1066" t="s">
        <v>385</v>
      </c>
      <c r="E29" s="1067" t="s">
        <v>386</v>
      </c>
      <c r="F29" s="912"/>
      <c r="G29" s="1052"/>
      <c r="H29" s="150"/>
      <c r="I29" s="61"/>
    </row>
    <row r="30" spans="1:9" ht="37.5" customHeight="1">
      <c r="A30" s="16">
        <v>29</v>
      </c>
      <c r="B30" s="1055" t="s">
        <v>387</v>
      </c>
      <c r="C30" s="1056" t="s">
        <v>388</v>
      </c>
      <c r="D30" s="150"/>
      <c r="E30" s="331"/>
      <c r="F30" s="1051"/>
      <c r="G30" s="1057" t="s">
        <v>389</v>
      </c>
      <c r="H30" s="925"/>
      <c r="I30" s="80"/>
    </row>
    <row r="31" spans="1:9" ht="38.25" customHeight="1">
      <c r="A31" s="16">
        <v>30</v>
      </c>
      <c r="B31" s="1058"/>
      <c r="C31" s="977"/>
      <c r="D31" s="372"/>
      <c r="E31" s="372"/>
      <c r="F31" s="925"/>
      <c r="G31" s="756"/>
      <c r="H31" s="357"/>
      <c r="I31" s="43"/>
    </row>
    <row r="32" spans="1:9" ht="27.75" customHeight="1">
      <c r="A32" s="16">
        <v>31</v>
      </c>
      <c r="B32" s="1083" t="s">
        <v>390</v>
      </c>
      <c r="C32" s="1084" t="s">
        <v>390</v>
      </c>
      <c r="D32" s="1084" t="s">
        <v>390</v>
      </c>
      <c r="E32" s="1084" t="s">
        <v>390</v>
      </c>
      <c r="F32" s="1084" t="s">
        <v>390</v>
      </c>
      <c r="G32" s="1050"/>
      <c r="H32" s="155"/>
      <c r="I32" s="64"/>
    </row>
    <row r="33" spans="1:9" ht="30" customHeight="1">
      <c r="A33" s="36" t="s">
        <v>391</v>
      </c>
      <c r="B33" s="37" t="s">
        <v>1</v>
      </c>
      <c r="C33" s="37" t="s">
        <v>2</v>
      </c>
      <c r="D33" s="924" t="s">
        <v>3</v>
      </c>
      <c r="E33" s="1048" t="s">
        <v>4</v>
      </c>
      <c r="F33" s="1049" t="s">
        <v>5</v>
      </c>
      <c r="G33" s="1125" t="s">
        <v>6</v>
      </c>
      <c r="H33" s="37" t="s">
        <v>7</v>
      </c>
      <c r="I33" s="39" t="s">
        <v>8</v>
      </c>
    </row>
    <row r="34" spans="1:9" ht="30" customHeight="1">
      <c r="A34" s="7">
        <v>1</v>
      </c>
      <c r="B34" s="1085" t="s">
        <v>390</v>
      </c>
      <c r="C34" s="1086" t="s">
        <v>390</v>
      </c>
      <c r="D34" s="1084" t="s">
        <v>390</v>
      </c>
      <c r="E34" s="567" t="s">
        <v>390</v>
      </c>
      <c r="F34" s="567" t="s">
        <v>390</v>
      </c>
      <c r="G34" s="713"/>
      <c r="H34" s="926" t="s">
        <v>10</v>
      </c>
      <c r="I34" s="43"/>
    </row>
    <row r="35" spans="1:9" ht="30" customHeight="1">
      <c r="A35" s="7">
        <v>2</v>
      </c>
      <c r="B35" s="566" t="s">
        <v>390</v>
      </c>
      <c r="C35" s="567" t="s">
        <v>390</v>
      </c>
      <c r="D35" s="567" t="s">
        <v>390</v>
      </c>
      <c r="E35" s="567" t="s">
        <v>390</v>
      </c>
      <c r="F35" s="567" t="s">
        <v>390</v>
      </c>
      <c r="G35" s="713"/>
      <c r="H35" s="150"/>
      <c r="I35" s="64"/>
    </row>
    <row r="36" spans="1:9" ht="30" customHeight="1">
      <c r="A36" s="7">
        <v>3</v>
      </c>
      <c r="B36" s="170"/>
      <c r="C36" s="150"/>
      <c r="D36" s="150"/>
      <c r="E36" s="150"/>
      <c r="F36" s="150"/>
      <c r="G36" s="535"/>
      <c r="H36" s="74"/>
      <c r="I36" s="64"/>
    </row>
    <row r="37" spans="1:9" ht="30" customHeight="1">
      <c r="A37" s="7">
        <v>4</v>
      </c>
      <c r="B37" s="160" t="s">
        <v>365</v>
      </c>
      <c r="C37" s="43"/>
      <c r="D37" s="340"/>
      <c r="E37" s="535"/>
      <c r="F37" s="535"/>
      <c r="G37" s="535"/>
      <c r="H37" s="64"/>
      <c r="I37" s="64"/>
    </row>
    <row r="38" spans="1:9" ht="30" customHeight="1">
      <c r="A38" s="7">
        <v>5</v>
      </c>
      <c r="B38" s="64"/>
      <c r="C38" s="918" t="s">
        <v>392</v>
      </c>
      <c r="D38" s="88"/>
      <c r="E38" s="535"/>
      <c r="F38" s="535"/>
      <c r="G38" s="535"/>
      <c r="H38" s="98"/>
      <c r="I38" s="64"/>
    </row>
    <row r="39" spans="1:9" ht="30" customHeight="1">
      <c r="A39" s="7">
        <v>6</v>
      </c>
      <c r="B39" s="64"/>
      <c r="C39" s="43"/>
      <c r="D39" s="340"/>
      <c r="E39" s="43"/>
      <c r="F39" s="64"/>
      <c r="G39" s="64"/>
      <c r="H39" s="131"/>
      <c r="I39" s="43"/>
    </row>
    <row r="40" spans="1:9" ht="30" customHeight="1">
      <c r="A40" s="7">
        <v>7</v>
      </c>
      <c r="B40" s="1018" t="s">
        <v>393</v>
      </c>
      <c r="C40" s="1018" t="s">
        <v>393</v>
      </c>
      <c r="D40" s="1018" t="s">
        <v>393</v>
      </c>
      <c r="E40" s="1018" t="s">
        <v>393</v>
      </c>
      <c r="F40" s="1018" t="s">
        <v>393</v>
      </c>
      <c r="G40" s="64"/>
      <c r="H40" s="131"/>
      <c r="I40" s="64"/>
    </row>
    <row r="41" spans="1:9" ht="30" customHeight="1">
      <c r="A41" s="7">
        <v>8</v>
      </c>
      <c r="B41" s="1018" t="s">
        <v>393</v>
      </c>
      <c r="C41" s="1018" t="s">
        <v>393</v>
      </c>
      <c r="D41" s="1018" t="s">
        <v>393</v>
      </c>
      <c r="E41" s="1018" t="s">
        <v>393</v>
      </c>
      <c r="F41" s="1018" t="s">
        <v>393</v>
      </c>
      <c r="G41" s="43"/>
      <c r="H41" s="64"/>
      <c r="I41" s="1109" t="s">
        <v>394</v>
      </c>
    </row>
    <row r="42" spans="1:9" ht="30" customHeight="1">
      <c r="A42" s="7">
        <v>9</v>
      </c>
      <c r="B42" s="331"/>
      <c r="C42" s="331"/>
      <c r="D42" s="331"/>
      <c r="E42" s="331"/>
      <c r="F42" s="331"/>
      <c r="G42" s="64"/>
      <c r="H42" s="64"/>
      <c r="I42" s="64"/>
    </row>
    <row r="43" spans="1:9" ht="30" customHeight="1">
      <c r="A43" s="7">
        <v>10</v>
      </c>
      <c r="B43" s="977"/>
      <c r="C43" s="331"/>
      <c r="D43" s="331"/>
      <c r="E43" s="331"/>
      <c r="F43" s="331"/>
      <c r="G43" s="64"/>
      <c r="H43" s="100"/>
      <c r="I43" s="64"/>
    </row>
    <row r="44" spans="1:9" ht="30" customHeight="1">
      <c r="A44" s="16">
        <v>11</v>
      </c>
      <c r="B44" s="357"/>
      <c r="C44" s="556" t="s">
        <v>395</v>
      </c>
      <c r="D44" s="150"/>
      <c r="E44" s="150"/>
      <c r="F44" s="150"/>
      <c r="G44" s="64"/>
      <c r="H44" s="64"/>
      <c r="I44" s="64"/>
    </row>
    <row r="45" spans="1:9" ht="30" customHeight="1">
      <c r="A45" s="16">
        <v>12</v>
      </c>
      <c r="B45" s="357"/>
      <c r="C45" s="1117" t="s">
        <v>396</v>
      </c>
      <c r="D45" s="1096" t="s">
        <v>397</v>
      </c>
      <c r="E45" s="1115"/>
      <c r="F45" s="986" t="s">
        <v>246</v>
      </c>
      <c r="G45" s="1096" t="s">
        <v>398</v>
      </c>
      <c r="H45" s="131"/>
      <c r="I45" s="43"/>
    </row>
    <row r="46" spans="1:9" ht="30" customHeight="1">
      <c r="A46" s="16">
        <v>13</v>
      </c>
      <c r="B46" s="357"/>
      <c r="C46" s="357"/>
      <c r="D46" s="150"/>
      <c r="E46" s="150"/>
      <c r="F46" s="160" t="s">
        <v>246</v>
      </c>
      <c r="G46" s="44"/>
      <c r="H46" s="64"/>
      <c r="I46" s="54"/>
    </row>
    <row r="47" spans="1:9" ht="30" customHeight="1">
      <c r="A47" s="16">
        <v>14</v>
      </c>
      <c r="B47" s="1095"/>
      <c r="C47" s="150"/>
      <c r="D47" s="150"/>
      <c r="E47" s="150"/>
      <c r="F47" s="414" t="s">
        <v>246</v>
      </c>
      <c r="G47" s="1078"/>
      <c r="H47" s="102"/>
      <c r="I47" s="64"/>
    </row>
    <row r="48" spans="1:9" ht="30" customHeight="1">
      <c r="A48" s="16">
        <v>15</v>
      </c>
      <c r="B48" s="1148" t="s">
        <v>368</v>
      </c>
      <c r="C48" s="621"/>
      <c r="D48" s="621"/>
      <c r="E48" s="335"/>
      <c r="F48" s="1116" t="s">
        <v>246</v>
      </c>
      <c r="G48" s="103"/>
      <c r="H48" s="103"/>
      <c r="I48" s="43"/>
    </row>
    <row r="49" spans="1:9" ht="30" customHeight="1">
      <c r="A49" s="16">
        <v>16</v>
      </c>
      <c r="B49" s="155"/>
      <c r="C49" s="621"/>
      <c r="D49" s="621"/>
      <c r="E49" s="985" t="s">
        <v>246</v>
      </c>
      <c r="F49" s="986" t="s">
        <v>246</v>
      </c>
      <c r="G49" s="1110"/>
      <c r="H49" s="49"/>
      <c r="I49" s="64"/>
    </row>
    <row r="50" spans="1:9" ht="30" customHeight="1">
      <c r="A50" s="16">
        <v>17</v>
      </c>
      <c r="B50" s="357"/>
      <c r="C50" s="150"/>
      <c r="D50" s="621"/>
      <c r="E50" s="986" t="s">
        <v>246</v>
      </c>
      <c r="F50" s="160" t="s">
        <v>246</v>
      </c>
      <c r="G50" s="43"/>
      <c r="H50" s="106"/>
      <c r="I50" s="64"/>
    </row>
    <row r="51" spans="1:9" ht="30" customHeight="1">
      <c r="A51" s="16">
        <v>18</v>
      </c>
      <c r="B51" s="1054" t="s">
        <v>399</v>
      </c>
      <c r="C51" s="150"/>
      <c r="D51" s="150"/>
      <c r="E51" s="986" t="s">
        <v>246</v>
      </c>
      <c r="F51" s="160" t="s">
        <v>246</v>
      </c>
      <c r="G51" s="1132" t="s">
        <v>400</v>
      </c>
      <c r="H51" s="110"/>
      <c r="I51" s="987" t="s">
        <v>401</v>
      </c>
    </row>
    <row r="52" spans="1:9" ht="30" customHeight="1">
      <c r="A52" s="16">
        <v>19</v>
      </c>
      <c r="B52" s="1054" t="s">
        <v>402</v>
      </c>
      <c r="C52" s="631" t="s">
        <v>365</v>
      </c>
      <c r="D52" s="150"/>
      <c r="E52" s="986" t="s">
        <v>246</v>
      </c>
      <c r="F52" s="160" t="s">
        <v>246</v>
      </c>
      <c r="G52" s="1133" t="s">
        <v>400</v>
      </c>
      <c r="H52" s="64"/>
      <c r="I52" s="64"/>
    </row>
    <row r="53" spans="1:9" ht="30" customHeight="1">
      <c r="A53" s="16">
        <v>20</v>
      </c>
      <c r="B53" s="357"/>
      <c r="C53" s="499" t="s">
        <v>403</v>
      </c>
      <c r="D53" s="621"/>
      <c r="E53" s="986" t="s">
        <v>246</v>
      </c>
      <c r="F53" s="160" t="s">
        <v>246</v>
      </c>
      <c r="G53" s="1138"/>
      <c r="H53" s="64"/>
      <c r="I53" s="64"/>
    </row>
    <row r="54" spans="1:9" ht="30" customHeight="1">
      <c r="A54" s="7">
        <v>21</v>
      </c>
      <c r="B54" s="1147" t="s">
        <v>404</v>
      </c>
      <c r="C54" s="1143" t="s">
        <v>405</v>
      </c>
      <c r="D54" s="632" t="s">
        <v>406</v>
      </c>
      <c r="E54" s="1140"/>
      <c r="F54" s="1141"/>
      <c r="G54" s="1139"/>
      <c r="H54" s="111"/>
      <c r="I54" s="61"/>
    </row>
    <row r="55" spans="1:9" ht="30" customHeight="1">
      <c r="A55" s="7">
        <v>22</v>
      </c>
      <c r="B55" s="697" t="s">
        <v>407</v>
      </c>
      <c r="C55" s="697" t="s">
        <v>407</v>
      </c>
      <c r="D55" s="698" t="s">
        <v>407</v>
      </c>
      <c r="E55" s="696" t="s">
        <v>407</v>
      </c>
      <c r="F55" s="696" t="s">
        <v>407</v>
      </c>
      <c r="G55" s="483" t="s">
        <v>408</v>
      </c>
      <c r="H55" s="64"/>
      <c r="I55" s="64"/>
    </row>
    <row r="56" spans="1:9" ht="30" customHeight="1">
      <c r="A56" s="7">
        <v>23</v>
      </c>
      <c r="B56" s="697" t="s">
        <v>407</v>
      </c>
      <c r="C56" s="697" t="s">
        <v>407</v>
      </c>
      <c r="D56" s="697" t="s">
        <v>407</v>
      </c>
      <c r="E56" s="697" t="s">
        <v>407</v>
      </c>
      <c r="F56" s="697" t="s">
        <v>407</v>
      </c>
      <c r="G56" s="483" t="s">
        <v>409</v>
      </c>
      <c r="H56" s="64"/>
      <c r="I56" s="64"/>
    </row>
    <row r="57" spans="1:9" ht="30" customHeight="1">
      <c r="A57" s="7">
        <v>24</v>
      </c>
      <c r="B57" s="1142" t="s">
        <v>407</v>
      </c>
      <c r="C57" s="1142" t="s">
        <v>407</v>
      </c>
      <c r="D57" s="1142" t="s">
        <v>407</v>
      </c>
      <c r="E57" s="1142" t="s">
        <v>407</v>
      </c>
      <c r="F57" s="1142" t="s">
        <v>407</v>
      </c>
      <c r="G57" s="483" t="s">
        <v>410</v>
      </c>
      <c r="H57" s="100"/>
      <c r="I57" s="112"/>
    </row>
    <row r="58" spans="1:9" ht="30" customHeight="1">
      <c r="A58" s="7">
        <v>25</v>
      </c>
      <c r="B58" s="1136" t="s">
        <v>411</v>
      </c>
      <c r="C58" s="1136" t="s">
        <v>412</v>
      </c>
      <c r="D58" s="810"/>
      <c r="E58" s="1136" t="s">
        <v>413</v>
      </c>
      <c r="F58" s="1136" t="s">
        <v>413</v>
      </c>
      <c r="G58" s="64"/>
      <c r="H58" s="44"/>
      <c r="I58" s="64"/>
    </row>
    <row r="59" spans="1:9" ht="30" customHeight="1">
      <c r="A59" s="11">
        <v>26</v>
      </c>
      <c r="B59" s="928" t="s">
        <v>414</v>
      </c>
      <c r="C59" s="631" t="s">
        <v>415</v>
      </c>
      <c r="D59" s="1018" t="s">
        <v>416</v>
      </c>
      <c r="E59" s="1018" t="s">
        <v>417</v>
      </c>
      <c r="F59" s="331"/>
      <c r="G59" s="342"/>
      <c r="H59" s="1134"/>
      <c r="I59" s="64"/>
    </row>
    <row r="60" spans="1:9" ht="30" customHeight="1">
      <c r="A60" s="15">
        <v>27</v>
      </c>
      <c r="B60" s="928" t="s">
        <v>414</v>
      </c>
      <c r="C60" s="150"/>
      <c r="D60" s="567" t="s">
        <v>418</v>
      </c>
      <c r="E60" s="335"/>
      <c r="F60" s="335"/>
      <c r="G60" s="342"/>
      <c r="H60" s="1135"/>
      <c r="I60" s="43"/>
    </row>
    <row r="61" spans="1:9" ht="30" customHeight="1">
      <c r="A61" s="11">
        <v>28</v>
      </c>
      <c r="B61" s="1131"/>
      <c r="C61" s="1090"/>
      <c r="D61" s="1101" t="s">
        <v>419</v>
      </c>
      <c r="E61" s="957" t="s">
        <v>420</v>
      </c>
      <c r="F61" s="958" t="s">
        <v>421</v>
      </c>
      <c r="G61" s="1100" t="s">
        <v>422</v>
      </c>
      <c r="H61" s="1089"/>
      <c r="I61" s="44"/>
    </row>
    <row r="62" spans="1:9" ht="30" customHeight="1">
      <c r="A62" s="15">
        <v>29</v>
      </c>
      <c r="B62" s="787"/>
      <c r="C62" s="1080"/>
      <c r="D62" s="1102" t="s">
        <v>423</v>
      </c>
      <c r="E62" s="97"/>
      <c r="F62" s="945"/>
      <c r="G62" s="1100" t="s">
        <v>422</v>
      </c>
      <c r="H62" s="473"/>
      <c r="I62" s="55"/>
    </row>
    <row r="63" spans="1:9" ht="30" customHeight="1">
      <c r="A63" s="15">
        <v>30</v>
      </c>
      <c r="B63" s="787"/>
      <c r="C63" s="93"/>
      <c r="D63" s="1103" t="s">
        <v>424</v>
      </c>
      <c r="E63" s="145"/>
      <c r="F63" s="146"/>
      <c r="G63" s="1100" t="s">
        <v>422</v>
      </c>
      <c r="H63" s="473"/>
      <c r="I63" s="55"/>
    </row>
    <row r="64" spans="1:9" ht="30" customHeight="1">
      <c r="A64" s="148" t="s">
        <v>425</v>
      </c>
      <c r="B64" s="37" t="s">
        <v>1</v>
      </c>
      <c r="C64" s="37" t="s">
        <v>2</v>
      </c>
      <c r="D64" s="37" t="s">
        <v>3</v>
      </c>
      <c r="E64" s="37" t="s">
        <v>4</v>
      </c>
      <c r="F64" s="37" t="s">
        <v>5</v>
      </c>
      <c r="G64" s="37" t="s">
        <v>6</v>
      </c>
      <c r="H64" s="37" t="s">
        <v>7</v>
      </c>
      <c r="I64" s="39" t="s">
        <v>8</v>
      </c>
    </row>
    <row r="65" spans="1:9" ht="30" customHeight="1">
      <c r="A65" s="7">
        <v>1</v>
      </c>
      <c r="B65" s="117"/>
      <c r="C65" s="43"/>
      <c r="D65" s="101"/>
      <c r="E65" s="105"/>
      <c r="F65" s="118"/>
      <c r="G65" s="97"/>
      <c r="H65" s="64"/>
      <c r="I65" s="43"/>
    </row>
    <row r="66" spans="1:9" ht="30" customHeight="1">
      <c r="A66" s="7">
        <v>2</v>
      </c>
      <c r="B66" s="64"/>
      <c r="C66" s="74"/>
      <c r="D66" s="101"/>
      <c r="E66" s="1150"/>
      <c r="F66" s="119"/>
      <c r="G66" s="64"/>
      <c r="H66" s="74"/>
      <c r="I66" s="64"/>
    </row>
    <row r="67" spans="1:9" ht="30" customHeight="1">
      <c r="A67" s="7">
        <v>3</v>
      </c>
      <c r="B67" s="1107"/>
      <c r="C67" s="120"/>
      <c r="D67" s="1149" t="s">
        <v>426</v>
      </c>
      <c r="E67" s="1151" t="s">
        <v>427</v>
      </c>
      <c r="F67" s="1129" t="s">
        <v>428</v>
      </c>
      <c r="G67" s="499" t="s">
        <v>429</v>
      </c>
      <c r="H67" s="64"/>
      <c r="I67" s="44"/>
    </row>
    <row r="68" spans="1:9" ht="30" customHeight="1">
      <c r="A68" s="16">
        <v>4</v>
      </c>
      <c r="B68" s="947"/>
      <c r="C68" s="120"/>
      <c r="D68" s="709"/>
      <c r="E68" s="87"/>
      <c r="F68" s="1084" t="s">
        <v>430</v>
      </c>
      <c r="G68" s="1128"/>
      <c r="H68" s="92"/>
      <c r="I68" s="93"/>
    </row>
    <row r="69" spans="1:9" ht="30" customHeight="1">
      <c r="A69" s="7">
        <v>5</v>
      </c>
      <c r="B69" s="1118" t="s">
        <v>431</v>
      </c>
      <c r="C69" s="1118" t="s">
        <v>431</v>
      </c>
      <c r="D69" s="972" t="s">
        <v>432</v>
      </c>
      <c r="E69" s="1118" t="s">
        <v>432</v>
      </c>
      <c r="F69" s="1118" t="s">
        <v>432</v>
      </c>
      <c r="G69" s="1130" t="s">
        <v>433</v>
      </c>
      <c r="H69" s="64"/>
      <c r="I69" s="123"/>
    </row>
    <row r="70" spans="1:9" ht="30" customHeight="1">
      <c r="A70" s="7">
        <v>6</v>
      </c>
      <c r="B70" s="1118" t="s">
        <v>431</v>
      </c>
      <c r="C70" s="1118" t="s">
        <v>431</v>
      </c>
      <c r="D70" s="972" t="s">
        <v>432</v>
      </c>
      <c r="E70" s="1118" t="s">
        <v>432</v>
      </c>
      <c r="F70" s="1119" t="s">
        <v>432</v>
      </c>
      <c r="G70" s="134" t="s">
        <v>434</v>
      </c>
      <c r="H70" s="369" t="s">
        <v>10</v>
      </c>
      <c r="I70" s="43"/>
    </row>
    <row r="71" spans="1:9" ht="30" customHeight="1">
      <c r="A71" s="7">
        <v>7</v>
      </c>
      <c r="B71" s="458"/>
      <c r="C71" s="458"/>
      <c r="D71" s="768"/>
      <c r="E71" s="1128"/>
      <c r="F71" s="947"/>
      <c r="G71" s="127"/>
      <c r="H71" s="64"/>
      <c r="I71" s="64"/>
    </row>
    <row r="72" spans="1:9" ht="30" customHeight="1">
      <c r="A72" s="7">
        <v>8</v>
      </c>
      <c r="B72" s="150"/>
      <c r="C72" s="342"/>
      <c r="D72" s="357"/>
      <c r="E72" s="352"/>
      <c r="F72" s="150"/>
      <c r="G72" s="64"/>
      <c r="H72" s="369" t="s">
        <v>10</v>
      </c>
      <c r="I72" s="64"/>
    </row>
    <row r="73" spans="1:9" ht="30" customHeight="1">
      <c r="A73" s="7">
        <v>9</v>
      </c>
      <c r="B73" s="128"/>
      <c r="C73" s="84"/>
      <c r="D73" s="43"/>
      <c r="E73" s="128"/>
      <c r="F73" s="128"/>
      <c r="G73" s="64"/>
      <c r="H73" s="74"/>
      <c r="I73" s="1155" t="s">
        <v>435</v>
      </c>
    </row>
    <row r="74" spans="1:9" ht="30" customHeight="1">
      <c r="A74" s="7">
        <v>10</v>
      </c>
      <c r="B74" s="150"/>
      <c r="C74" s="335"/>
      <c r="D74" s="150"/>
      <c r="E74" s="128"/>
      <c r="F74" s="128"/>
      <c r="G74" s="129"/>
      <c r="H74" s="130"/>
      <c r="I74" s="64"/>
    </row>
    <row r="75" spans="1:9" ht="30" customHeight="1">
      <c r="A75" s="7">
        <v>11</v>
      </c>
      <c r="B75" s="1137"/>
      <c r="C75" s="1095"/>
      <c r="D75" s="571"/>
      <c r="E75" s="959" t="s">
        <v>436</v>
      </c>
      <c r="F75" s="959" t="s">
        <v>437</v>
      </c>
      <c r="G75" s="129"/>
      <c r="H75" s="84"/>
      <c r="I75" s="44"/>
    </row>
    <row r="76" spans="1:9" ht="30" customHeight="1">
      <c r="A76" s="16">
        <v>12</v>
      </c>
      <c r="B76" s="1081"/>
      <c r="C76" s="357"/>
      <c r="D76" s="1126" t="s">
        <v>438</v>
      </c>
      <c r="E76" s="699" t="s">
        <v>439</v>
      </c>
      <c r="F76" s="699" t="s">
        <v>440</v>
      </c>
      <c r="G76" s="64"/>
      <c r="H76" s="341"/>
      <c r="I76" s="1046"/>
    </row>
    <row r="77" spans="1:9" ht="41.25" customHeight="1">
      <c r="A77" s="7">
        <v>13</v>
      </c>
      <c r="B77" s="987" t="s">
        <v>441</v>
      </c>
      <c r="C77" s="918" t="s">
        <v>442</v>
      </c>
      <c r="D77" s="918" t="s">
        <v>442</v>
      </c>
      <c r="E77" s="918" t="s">
        <v>442</v>
      </c>
      <c r="F77" s="918" t="s">
        <v>442</v>
      </c>
      <c r="G77" s="91"/>
      <c r="H77" s="1071" t="s">
        <v>443</v>
      </c>
      <c r="I77" s="43"/>
    </row>
    <row r="78" spans="1:9" ht="30" customHeight="1">
      <c r="A78" s="7">
        <v>14</v>
      </c>
      <c r="B78" s="331"/>
      <c r="C78" s="331"/>
      <c r="D78" s="331"/>
      <c r="E78" s="331"/>
      <c r="F78" s="331"/>
      <c r="G78" s="131"/>
      <c r="H78" s="43"/>
      <c r="I78" s="43"/>
    </row>
    <row r="79" spans="1:9" ht="30" customHeight="1">
      <c r="A79" s="7">
        <v>15</v>
      </c>
      <c r="B79" s="331"/>
      <c r="C79" s="331"/>
      <c r="D79" s="1169" t="s">
        <v>444</v>
      </c>
      <c r="E79" s="331"/>
      <c r="F79" s="331"/>
      <c r="G79" s="64"/>
      <c r="H79" s="134"/>
      <c r="I79" s="43"/>
    </row>
    <row r="80" spans="1:9" ht="30" customHeight="1">
      <c r="A80" s="7">
        <v>16</v>
      </c>
      <c r="B80" s="170"/>
      <c r="C80" s="170"/>
      <c r="D80" s="1170" t="s">
        <v>445</v>
      </c>
      <c r="E80" s="576" t="s">
        <v>446</v>
      </c>
      <c r="F80" s="576" t="s">
        <v>447</v>
      </c>
      <c r="G80" s="81"/>
      <c r="H80" s="135"/>
      <c r="I80" s="64"/>
    </row>
    <row r="81" spans="1:9" ht="30" customHeight="1">
      <c r="A81" s="7">
        <v>17</v>
      </c>
      <c r="B81" s="85"/>
      <c r="C81" s="85"/>
      <c r="D81" s="85"/>
      <c r="E81" s="150"/>
      <c r="F81" s="150"/>
      <c r="G81" s="81"/>
      <c r="H81" s="136"/>
      <c r="I81" s="1165" t="s">
        <v>448</v>
      </c>
    </row>
    <row r="82" spans="1:9" ht="30" customHeight="1">
      <c r="A82" s="7">
        <v>18</v>
      </c>
      <c r="B82" s="67"/>
      <c r="C82" s="91"/>
      <c r="D82" s="1127"/>
      <c r="E82" s="331"/>
      <c r="F82" s="331"/>
      <c r="G82" s="64"/>
      <c r="H82" s="43"/>
      <c r="I82" s="43"/>
    </row>
    <row r="83" spans="1:9" ht="53.25" customHeight="1">
      <c r="A83" s="7">
        <v>19</v>
      </c>
      <c r="B83" s="1153" t="s">
        <v>449</v>
      </c>
      <c r="C83" s="1168" t="s">
        <v>412</v>
      </c>
      <c r="D83" s="1167" t="s">
        <v>450</v>
      </c>
      <c r="E83" s="1070" t="s">
        <v>450</v>
      </c>
      <c r="F83" s="1070" t="s">
        <v>450</v>
      </c>
      <c r="G83" s="1177" t="s">
        <v>451</v>
      </c>
      <c r="H83" s="1156" t="s">
        <v>452</v>
      </c>
      <c r="I83" s="43"/>
    </row>
    <row r="84" spans="1:9" ht="30" customHeight="1">
      <c r="A84" s="7">
        <v>20</v>
      </c>
      <c r="B84" s="150"/>
      <c r="C84" s="342"/>
      <c r="D84" s="1163"/>
      <c r="E84" s="412" t="s">
        <v>453</v>
      </c>
      <c r="F84" s="412" t="s">
        <v>453</v>
      </c>
      <c r="G84" s="567" t="s">
        <v>454</v>
      </c>
      <c r="H84" s="43"/>
      <c r="I84" s="43"/>
    </row>
    <row r="85" spans="1:9" ht="15.75">
      <c r="A85" s="7">
        <v>21</v>
      </c>
      <c r="B85" s="150"/>
      <c r="C85" s="342"/>
      <c r="D85" s="1157"/>
      <c r="E85" s="43"/>
      <c r="F85" s="43"/>
      <c r="G85" s="64"/>
      <c r="H85" s="64"/>
      <c r="I85" s="81"/>
    </row>
    <row r="86" spans="1:9">
      <c r="A86" s="7">
        <v>22</v>
      </c>
      <c r="B86" s="137"/>
      <c r="C86" s="137"/>
      <c r="D86" s="137"/>
      <c r="E86" s="137"/>
      <c r="F86" s="137"/>
      <c r="G86" s="64"/>
      <c r="H86" s="64"/>
      <c r="I86" s="43"/>
    </row>
    <row r="87" spans="1:9">
      <c r="A87" s="16">
        <v>23</v>
      </c>
      <c r="B87" s="138"/>
      <c r="C87" s="139"/>
      <c r="D87" s="140"/>
      <c r="E87" s="141"/>
      <c r="F87" s="141"/>
      <c r="G87" s="64"/>
      <c r="H87" s="64"/>
      <c r="I87" s="64"/>
    </row>
    <row r="88" spans="1:9">
      <c r="A88" s="16">
        <v>24</v>
      </c>
      <c r="B88" s="142"/>
      <c r="C88" s="143"/>
      <c r="D88" s="133"/>
      <c r="E88" s="76"/>
      <c r="F88" s="48"/>
      <c r="G88" s="64"/>
      <c r="H88" s="64"/>
      <c r="I88" s="64"/>
    </row>
    <row r="89" spans="1:9">
      <c r="A89" s="7">
        <v>25</v>
      </c>
      <c r="B89" s="42"/>
      <c r="C89" s="42"/>
      <c r="D89" s="1077"/>
      <c r="E89" s="42"/>
      <c r="F89" s="42"/>
      <c r="G89" s="64"/>
      <c r="H89" s="369" t="s">
        <v>10</v>
      </c>
      <c r="I89" s="64"/>
    </row>
    <row r="90" spans="1:9">
      <c r="A90" s="16">
        <v>26</v>
      </c>
      <c r="B90" s="93"/>
      <c r="C90" s="93"/>
      <c r="D90" s="75"/>
      <c r="E90" s="93"/>
      <c r="F90" s="93"/>
      <c r="G90" s="64"/>
      <c r="H90" s="81"/>
      <c r="I90" s="64"/>
    </row>
    <row r="91" spans="1:9">
      <c r="A91" s="16">
        <v>27</v>
      </c>
      <c r="B91" s="1208"/>
      <c r="C91" s="1208"/>
      <c r="D91" s="1208"/>
      <c r="E91" s="1208"/>
      <c r="F91" s="1208"/>
      <c r="G91" s="64"/>
      <c r="H91" s="64"/>
      <c r="I91" s="64"/>
    </row>
    <row r="92" spans="1:9">
      <c r="A92" s="16">
        <v>28</v>
      </c>
      <c r="B92" s="1111"/>
      <c r="C92" s="1112"/>
      <c r="D92" s="1113"/>
      <c r="E92" s="1114"/>
      <c r="F92" s="131"/>
      <c r="G92" s="64"/>
      <c r="H92" s="64"/>
      <c r="I92" s="144"/>
    </row>
    <row r="93" spans="1:9">
      <c r="A93" s="7">
        <v>29</v>
      </c>
      <c r="B93" s="131"/>
      <c r="C93" s="1079"/>
      <c r="D93" s="1078"/>
      <c r="E93" s="1075"/>
      <c r="F93" s="131"/>
      <c r="G93" s="64"/>
      <c r="H93" s="64"/>
      <c r="I93" s="144"/>
    </row>
    <row r="94" spans="1:9">
      <c r="A94" s="7">
        <v>30</v>
      </c>
      <c r="B94" s="131"/>
      <c r="C94" s="131"/>
      <c r="D94" s="1079"/>
      <c r="E94" s="1076"/>
      <c r="F94" s="131"/>
      <c r="G94" s="64"/>
      <c r="H94" s="64"/>
      <c r="I94" s="144"/>
    </row>
    <row r="95" spans="1:9">
      <c r="A95" s="7">
        <v>31</v>
      </c>
      <c r="B95" s="43"/>
      <c r="C95" s="43"/>
      <c r="D95" s="43"/>
      <c r="E95" s="91"/>
      <c r="F95" s="91"/>
      <c r="G95" s="64"/>
      <c r="H95" s="64"/>
      <c r="I95" s="144"/>
    </row>
    <row r="97" spans="1:13">
      <c r="B97" s="256"/>
      <c r="C97" s="256"/>
      <c r="D97" s="256"/>
      <c r="E97" s="256"/>
      <c r="F97" s="256"/>
      <c r="G97" s="256"/>
      <c r="I97" s="256"/>
      <c r="J97" s="256"/>
      <c r="K97" s="256"/>
      <c r="L97" s="256"/>
      <c r="M97" s="256"/>
    </row>
    <row r="98" spans="1:13">
      <c r="A98" s="224"/>
      <c r="H98" s="225"/>
    </row>
    <row r="99" spans="1:13">
      <c r="A99" s="1201" t="s">
        <v>455</v>
      </c>
      <c r="B99" s="1201"/>
      <c r="C99" s="1201"/>
      <c r="D99" s="1201"/>
      <c r="E99" s="1201"/>
      <c r="H99" s="266" t="s">
        <v>116</v>
      </c>
      <c r="I99" s="175"/>
    </row>
    <row r="100" spans="1:13">
      <c r="H100" s="267"/>
      <c r="I100" s="176" t="s">
        <v>456</v>
      </c>
    </row>
    <row r="101" spans="1:13">
      <c r="A101" s="177"/>
      <c r="B101" s="177"/>
      <c r="C101" s="178">
        <v>2019</v>
      </c>
      <c r="D101" s="179">
        <v>2022</v>
      </c>
      <c r="E101" s="180">
        <v>2023</v>
      </c>
      <c r="F101" s="265">
        <v>2024</v>
      </c>
      <c r="G101" s="265">
        <v>2025</v>
      </c>
      <c r="H101" s="226"/>
    </row>
    <row r="102" spans="1:13">
      <c r="A102" t="s">
        <v>118</v>
      </c>
      <c r="C102" s="291">
        <v>6727.27</v>
      </c>
      <c r="D102" s="183">
        <v>5207.0200000000004</v>
      </c>
      <c r="E102" s="184">
        <v>3729.75</v>
      </c>
      <c r="F102" s="277">
        <v>3114.05</v>
      </c>
      <c r="G102" s="488">
        <v>5022.7299999999996</v>
      </c>
      <c r="H102" s="226"/>
    </row>
    <row r="103" spans="1:13">
      <c r="A103" t="s">
        <v>119</v>
      </c>
      <c r="C103" s="291">
        <v>2809.92</v>
      </c>
      <c r="D103" s="183">
        <v>185.95</v>
      </c>
      <c r="E103" s="184">
        <v>454.55</v>
      </c>
      <c r="F103" s="277">
        <v>0</v>
      </c>
      <c r="G103" s="488">
        <v>2149.37</v>
      </c>
      <c r="H103" s="246" t="s">
        <v>120</v>
      </c>
      <c r="I103" s="268">
        <v>301420.67</v>
      </c>
      <c r="J103" s="269"/>
      <c r="K103" s="188"/>
    </row>
    <row r="104" spans="1:13">
      <c r="A104" t="s">
        <v>121</v>
      </c>
      <c r="C104" s="291">
        <v>18427.27</v>
      </c>
      <c r="D104" s="183">
        <v>13777.05</v>
      </c>
      <c r="E104" s="184">
        <v>12283.94</v>
      </c>
      <c r="F104" s="277">
        <v>11931.29</v>
      </c>
      <c r="G104" s="488">
        <v>0</v>
      </c>
      <c r="H104" s="247" t="s">
        <v>122</v>
      </c>
      <c r="I104" s="270">
        <v>38282.86</v>
      </c>
      <c r="J104" s="271"/>
      <c r="K104" s="188"/>
    </row>
    <row r="105" spans="1:13">
      <c r="A105" t="s">
        <v>123</v>
      </c>
      <c r="C105" s="291">
        <v>8521.27</v>
      </c>
      <c r="D105" s="183">
        <v>1928.18</v>
      </c>
      <c r="E105" s="184">
        <v>4400</v>
      </c>
      <c r="F105" s="277">
        <v>8895.4500000000007</v>
      </c>
      <c r="G105" s="488">
        <v>4440.91</v>
      </c>
      <c r="H105" s="248" t="s">
        <v>124</v>
      </c>
      <c r="I105" s="272">
        <v>227138.06</v>
      </c>
      <c r="J105" s="232"/>
    </row>
    <row r="106" spans="1:13">
      <c r="A106" t="s">
        <v>125</v>
      </c>
      <c r="C106" s="291">
        <v>8222.0400000000009</v>
      </c>
      <c r="D106" s="183">
        <v>14705.23</v>
      </c>
      <c r="E106" s="184">
        <v>16309.31</v>
      </c>
      <c r="F106" s="277">
        <v>9076.02</v>
      </c>
      <c r="G106" s="488">
        <v>13838.62</v>
      </c>
      <c r="H106" s="246" t="s">
        <v>126</v>
      </c>
      <c r="I106" s="268">
        <v>271775.34000000003</v>
      </c>
      <c r="J106" s="273"/>
      <c r="K106" s="193"/>
    </row>
    <row r="107" spans="1:13">
      <c r="A107" t="s">
        <v>127</v>
      </c>
      <c r="C107" s="291">
        <v>1217.27</v>
      </c>
      <c r="D107" s="183">
        <v>1281.82</v>
      </c>
      <c r="E107" s="184">
        <v>695.45</v>
      </c>
      <c r="F107" s="277">
        <v>700.91</v>
      </c>
      <c r="G107" s="488">
        <v>1931.59</v>
      </c>
      <c r="H107" s="249" t="s">
        <v>128</v>
      </c>
      <c r="I107" s="234">
        <v>358490.32</v>
      </c>
    </row>
    <row r="108" spans="1:13">
      <c r="A108" t="s">
        <v>129</v>
      </c>
      <c r="C108" s="291">
        <v>3079.22</v>
      </c>
      <c r="D108" s="183">
        <v>2170.2600000000002</v>
      </c>
      <c r="E108" s="184">
        <v>1673.3</v>
      </c>
      <c r="F108" s="277">
        <v>2182.0100000000002</v>
      </c>
      <c r="G108" s="488">
        <v>1645.77</v>
      </c>
      <c r="H108" s="252" t="s">
        <v>130</v>
      </c>
      <c r="I108" s="274">
        <v>322142.05</v>
      </c>
    </row>
    <row r="109" spans="1:13" ht="15.75">
      <c r="A109" t="s">
        <v>131</v>
      </c>
      <c r="C109" s="291">
        <v>34364.68</v>
      </c>
      <c r="D109" s="183">
        <v>40038.620000000003</v>
      </c>
      <c r="E109" s="184">
        <v>53956.37</v>
      </c>
      <c r="F109" s="277">
        <v>38192.61</v>
      </c>
      <c r="G109" s="488">
        <v>45487.42</v>
      </c>
      <c r="H109" s="253" t="s">
        <v>132</v>
      </c>
      <c r="I109" s="554">
        <v>395286.16</v>
      </c>
    </row>
    <row r="110" spans="1:13">
      <c r="A110" t="s">
        <v>133</v>
      </c>
      <c r="C110" s="291">
        <v>1565.91</v>
      </c>
      <c r="D110" s="183">
        <v>2111.36</v>
      </c>
      <c r="E110" s="184">
        <v>2100</v>
      </c>
      <c r="F110" s="277">
        <v>1657.5</v>
      </c>
      <c r="G110" s="488">
        <v>1625.47</v>
      </c>
      <c r="H110" s="226"/>
    </row>
    <row r="111" spans="1:13">
      <c r="A111" t="s">
        <v>8</v>
      </c>
      <c r="C111" s="291">
        <v>4947.7299999999996</v>
      </c>
      <c r="D111" s="183">
        <v>1572.14</v>
      </c>
      <c r="E111" s="184">
        <v>2812.74</v>
      </c>
      <c r="F111" s="277">
        <v>1968.76</v>
      </c>
      <c r="G111" s="488">
        <v>6590.25</v>
      </c>
      <c r="H111" s="226"/>
      <c r="I111" s="275"/>
      <c r="J111" s="198" t="s">
        <v>134</v>
      </c>
      <c r="K111" s="293">
        <f>I109-I103</f>
        <v>93865.489999999991</v>
      </c>
    </row>
    <row r="112" spans="1:13">
      <c r="A112" s="177"/>
      <c r="B112" s="177"/>
      <c r="D112" s="200"/>
      <c r="E112" s="201"/>
      <c r="F112" s="278"/>
      <c r="H112" s="226"/>
      <c r="I112" s="275"/>
      <c r="J112" s="198" t="s">
        <v>135</v>
      </c>
      <c r="K112" s="293">
        <f>I109-I104</f>
        <v>357003.3</v>
      </c>
    </row>
    <row r="113" spans="1:13">
      <c r="B113" s="294" t="s">
        <v>137</v>
      </c>
      <c r="C113" s="317">
        <v>89882.58</v>
      </c>
      <c r="D113" s="203">
        <f>SUM(D102:D111)</f>
        <v>82977.63</v>
      </c>
      <c r="E113" s="204">
        <f>SUM(E102:E111)</f>
        <v>98415.410000000018</v>
      </c>
      <c r="F113" s="286">
        <f>SUM(F102:F111)</f>
        <v>77718.599999999991</v>
      </c>
      <c r="G113" s="286">
        <f>SUM(G102:G111)</f>
        <v>82732.13</v>
      </c>
      <c r="H113" s="226"/>
      <c r="I113" s="275"/>
      <c r="J113" s="198" t="s">
        <v>136</v>
      </c>
      <c r="K113" s="293">
        <f>I109-I105</f>
        <v>168148.09999999998</v>
      </c>
    </row>
    <row r="114" spans="1:13">
      <c r="D114" s="206"/>
      <c r="H114" s="226"/>
      <c r="I114" s="275"/>
      <c r="J114" s="198" t="s">
        <v>138</v>
      </c>
      <c r="K114" s="287">
        <f>I109-I106</f>
        <v>123510.81999999995</v>
      </c>
    </row>
    <row r="115" spans="1:13">
      <c r="C115" s="239" t="s">
        <v>134</v>
      </c>
      <c r="D115" s="296">
        <f>G113-C113</f>
        <v>-7150.4499999999971</v>
      </c>
      <c r="H115" s="226"/>
      <c r="I115" s="275"/>
      <c r="J115" s="198" t="s">
        <v>139</v>
      </c>
      <c r="K115" s="500">
        <f>I109-I107</f>
        <v>36795.839999999967</v>
      </c>
    </row>
    <row r="116" spans="1:13">
      <c r="C116" s="241" t="s">
        <v>138</v>
      </c>
      <c r="D116" s="297">
        <f>G113-D113</f>
        <v>-245.5</v>
      </c>
      <c r="H116" s="226"/>
      <c r="J116" s="212" t="s">
        <v>140</v>
      </c>
      <c r="K116" s="500">
        <f>I109-I108</f>
        <v>73144.109999999986</v>
      </c>
    </row>
    <row r="117" spans="1:13">
      <c r="C117" s="240" t="s">
        <v>139</v>
      </c>
      <c r="D117" s="645">
        <f>G113-E113</f>
        <v>-15683.280000000013</v>
      </c>
      <c r="H117" s="226"/>
    </row>
    <row r="118" spans="1:13">
      <c r="C118" s="213" t="s">
        <v>140</v>
      </c>
      <c r="D118" s="1036">
        <f>G113-F113</f>
        <v>5013.5300000000134</v>
      </c>
      <c r="H118" s="251"/>
    </row>
    <row r="119" spans="1:13">
      <c r="A119" s="256"/>
      <c r="B119" s="256"/>
      <c r="C119" s="256"/>
      <c r="D119" s="256"/>
      <c r="E119" s="256"/>
      <c r="F119" s="256"/>
      <c r="G119" s="256"/>
      <c r="H119" s="257"/>
      <c r="I119" s="256"/>
      <c r="J119" s="256"/>
      <c r="K119" s="256"/>
      <c r="L119" s="256"/>
      <c r="M119" s="256"/>
    </row>
    <row r="120" spans="1:13">
      <c r="H120" s="225"/>
    </row>
    <row r="121" spans="1:13">
      <c r="A121" s="1201" t="s">
        <v>457</v>
      </c>
      <c r="B121" s="1201"/>
      <c r="C121" s="1201"/>
      <c r="D121" s="1201"/>
      <c r="E121" s="1201"/>
      <c r="H121" s="266" t="s">
        <v>116</v>
      </c>
      <c r="I121" s="175"/>
    </row>
    <row r="122" spans="1:13">
      <c r="H122" s="267"/>
      <c r="I122" s="176" t="s">
        <v>458</v>
      </c>
    </row>
    <row r="123" spans="1:13">
      <c r="A123" s="177"/>
      <c r="B123" s="177"/>
      <c r="C123" s="178">
        <v>2019</v>
      </c>
      <c r="D123" s="179">
        <v>2022</v>
      </c>
      <c r="E123" s="180">
        <v>2023</v>
      </c>
      <c r="F123" s="265">
        <v>2024</v>
      </c>
      <c r="G123" s="265">
        <v>2025</v>
      </c>
      <c r="H123" s="226"/>
    </row>
    <row r="124" spans="1:13">
      <c r="A124" t="s">
        <v>118</v>
      </c>
      <c r="C124" s="291">
        <v>3572.73</v>
      </c>
      <c r="D124" s="183">
        <v>7689.67</v>
      </c>
      <c r="E124" s="184">
        <v>9906.61</v>
      </c>
      <c r="F124" s="277">
        <v>7853.31</v>
      </c>
      <c r="G124" s="1038">
        <v>4430.58</v>
      </c>
      <c r="H124" s="226"/>
    </row>
    <row r="125" spans="1:13">
      <c r="A125" t="s">
        <v>119</v>
      </c>
      <c r="C125" s="291">
        <v>123.97</v>
      </c>
      <c r="D125" s="183">
        <v>1909.09</v>
      </c>
      <c r="E125" s="184">
        <v>2824.96</v>
      </c>
      <c r="F125" s="277">
        <v>396.69</v>
      </c>
      <c r="G125" s="1038">
        <v>371.9</v>
      </c>
      <c r="H125" s="246" t="s">
        <v>120</v>
      </c>
      <c r="I125" s="187">
        <v>202994.18</v>
      </c>
      <c r="J125" s="273"/>
      <c r="K125" s="188"/>
    </row>
    <row r="126" spans="1:13">
      <c r="A126" t="s">
        <v>121</v>
      </c>
      <c r="C126" s="291">
        <v>13600.91</v>
      </c>
      <c r="D126" s="183">
        <v>8921.5499999999993</v>
      </c>
      <c r="E126" s="184">
        <v>10664.27</v>
      </c>
      <c r="F126" s="277">
        <v>4635.3500000000004</v>
      </c>
      <c r="G126" s="1038">
        <v>0</v>
      </c>
      <c r="H126" s="247" t="s">
        <v>122</v>
      </c>
      <c r="I126" s="190">
        <v>3322.4</v>
      </c>
      <c r="J126" s="271"/>
      <c r="K126" s="188"/>
    </row>
    <row r="127" spans="1:13">
      <c r="A127" t="s">
        <v>123</v>
      </c>
      <c r="C127" s="291">
        <v>12717.48</v>
      </c>
      <c r="D127" s="183">
        <v>7849.55</v>
      </c>
      <c r="E127" s="184">
        <v>8392.73</v>
      </c>
      <c r="F127" s="277">
        <v>4047.73</v>
      </c>
      <c r="G127" s="1038">
        <v>8440.91</v>
      </c>
      <c r="H127" s="248" t="s">
        <v>124</v>
      </c>
      <c r="I127" s="192">
        <v>215609.83</v>
      </c>
      <c r="J127" s="232"/>
    </row>
    <row r="128" spans="1:13">
      <c r="A128" t="s">
        <v>125</v>
      </c>
      <c r="C128" s="291">
        <v>3949.09</v>
      </c>
      <c r="D128" s="183">
        <v>7821.65</v>
      </c>
      <c r="E128" s="184">
        <v>6788.18</v>
      </c>
      <c r="F128" s="277">
        <v>3892.89</v>
      </c>
      <c r="G128" s="1038">
        <v>8979.93</v>
      </c>
      <c r="H128" s="246" t="s">
        <v>126</v>
      </c>
      <c r="I128" s="187">
        <v>273858.65999999997</v>
      </c>
      <c r="J128" s="273"/>
      <c r="K128" s="193"/>
    </row>
    <row r="129" spans="1:13">
      <c r="A129" t="s">
        <v>127</v>
      </c>
      <c r="C129" s="291">
        <v>2146.1999999999998</v>
      </c>
      <c r="D129" s="183">
        <v>2460.27</v>
      </c>
      <c r="E129" s="184">
        <v>2501.8200000000002</v>
      </c>
      <c r="F129" s="277">
        <v>1267.27</v>
      </c>
      <c r="G129" s="1038">
        <v>1257.27</v>
      </c>
      <c r="H129" s="249" t="s">
        <v>128</v>
      </c>
      <c r="I129" s="195">
        <v>305965.53000000003</v>
      </c>
    </row>
    <row r="130" spans="1:13">
      <c r="A130" t="s">
        <v>129</v>
      </c>
      <c r="C130" s="291">
        <v>3481.68</v>
      </c>
      <c r="D130" s="183">
        <v>1399.45</v>
      </c>
      <c r="E130" s="184">
        <v>1795.31</v>
      </c>
      <c r="F130" s="277">
        <v>382.74</v>
      </c>
      <c r="G130" s="1038">
        <v>2073.9499999999998</v>
      </c>
      <c r="H130" s="252" t="s">
        <v>130</v>
      </c>
      <c r="I130" s="274">
        <v>253845.66</v>
      </c>
    </row>
    <row r="131" spans="1:13" ht="15.75">
      <c r="A131" t="s">
        <v>131</v>
      </c>
      <c r="C131" s="291">
        <v>29915.919999999998</v>
      </c>
      <c r="D131" s="183">
        <v>32823.019999999997</v>
      </c>
      <c r="E131" s="184">
        <v>45357.15</v>
      </c>
      <c r="F131" s="277">
        <v>31962.89</v>
      </c>
      <c r="G131" s="1038">
        <v>40952.730000000003</v>
      </c>
      <c r="H131" s="253" t="s">
        <v>132</v>
      </c>
      <c r="I131" s="555">
        <v>316199.25</v>
      </c>
    </row>
    <row r="132" spans="1:13">
      <c r="A132" t="s">
        <v>133</v>
      </c>
      <c r="C132" s="291">
        <v>1354.55</v>
      </c>
      <c r="D132" s="183">
        <v>1768.18</v>
      </c>
      <c r="E132" s="184">
        <v>2097.46</v>
      </c>
      <c r="F132" s="277">
        <v>517.5</v>
      </c>
      <c r="G132" s="1038">
        <v>1748.18</v>
      </c>
      <c r="H132" s="226"/>
      <c r="I132" t="s">
        <v>64</v>
      </c>
    </row>
    <row r="133" spans="1:13">
      <c r="A133" t="s">
        <v>8</v>
      </c>
      <c r="C133" s="291">
        <v>5513.64</v>
      </c>
      <c r="D133" s="183">
        <v>1690</v>
      </c>
      <c r="E133" s="184">
        <v>2009.89</v>
      </c>
      <c r="F133" s="277">
        <v>580.49</v>
      </c>
      <c r="G133" s="1038">
        <v>5183.5</v>
      </c>
      <c r="H133" s="226"/>
      <c r="I133" s="275"/>
      <c r="J133" s="198" t="s">
        <v>134</v>
      </c>
      <c r="K133" s="293">
        <f>I131-I125</f>
        <v>113205.07</v>
      </c>
    </row>
    <row r="134" spans="1:13">
      <c r="A134" s="177"/>
      <c r="B134" s="177"/>
      <c r="D134" s="200"/>
      <c r="E134" s="201"/>
      <c r="F134" s="278"/>
      <c r="H134" s="226"/>
      <c r="I134" s="275"/>
      <c r="J134" s="198" t="s">
        <v>135</v>
      </c>
      <c r="K134" s="293">
        <f>I131-I126</f>
        <v>312876.84999999998</v>
      </c>
    </row>
    <row r="135" spans="1:13">
      <c r="B135" s="294" t="s">
        <v>137</v>
      </c>
      <c r="C135" s="317">
        <v>76476.17</v>
      </c>
      <c r="D135" s="203">
        <f>SUM(D124:D133)</f>
        <v>74332.429999999978</v>
      </c>
      <c r="E135" s="204">
        <f>SUM(E124:E133)</f>
        <v>92338.38</v>
      </c>
      <c r="F135" s="286">
        <f>SUM(F124:F133)</f>
        <v>55536.86</v>
      </c>
      <c r="G135" s="286">
        <f>SUM(G124:G133)</f>
        <v>73438.95</v>
      </c>
      <c r="H135" s="226"/>
      <c r="I135" s="275"/>
      <c r="J135" s="198" t="s">
        <v>136</v>
      </c>
      <c r="K135" s="293">
        <f>I131-I127</f>
        <v>100589.42000000001</v>
      </c>
    </row>
    <row r="136" spans="1:13">
      <c r="D136" s="206"/>
      <c r="H136" s="226"/>
      <c r="I136" s="275"/>
      <c r="J136" s="198" t="s">
        <v>138</v>
      </c>
      <c r="K136" s="195">
        <f>I131-I128</f>
        <v>42340.590000000026</v>
      </c>
    </row>
    <row r="137" spans="1:13">
      <c r="C137" s="239" t="s">
        <v>134</v>
      </c>
      <c r="D137" s="296">
        <f>G135-C135</f>
        <v>-3037.2200000000012</v>
      </c>
      <c r="H137" s="226"/>
      <c r="I137" s="275"/>
      <c r="J137" s="198" t="s">
        <v>139</v>
      </c>
      <c r="K137" s="500">
        <f>I131-I129</f>
        <v>10233.719999999972</v>
      </c>
    </row>
    <row r="138" spans="1:13">
      <c r="C138" s="241" t="s">
        <v>138</v>
      </c>
      <c r="D138" s="297">
        <f>G135-D135</f>
        <v>-893.47999999998137</v>
      </c>
      <c r="H138" s="226"/>
      <c r="J138" s="212" t="s">
        <v>140</v>
      </c>
      <c r="K138" s="500">
        <f>I131-I130</f>
        <v>62353.59</v>
      </c>
    </row>
    <row r="139" spans="1:13">
      <c r="C139" s="240" t="s">
        <v>139</v>
      </c>
      <c r="D139" s="645">
        <f>G135-E135</f>
        <v>-18899.430000000008</v>
      </c>
      <c r="H139" s="226"/>
    </row>
    <row r="140" spans="1:13">
      <c r="C140" s="213" t="s">
        <v>140</v>
      </c>
      <c r="D140" s="1036">
        <f>G135-F135</f>
        <v>17902.089999999997</v>
      </c>
      <c r="H140" s="251"/>
    </row>
    <row r="141" spans="1:13">
      <c r="A141" s="256"/>
      <c r="B141" s="256"/>
      <c r="C141" s="256"/>
      <c r="D141" s="256"/>
      <c r="E141" s="256"/>
      <c r="F141" s="256"/>
      <c r="G141" s="256"/>
      <c r="H141" s="257"/>
      <c r="I141" s="256"/>
      <c r="J141" s="256"/>
      <c r="K141" s="256"/>
      <c r="L141" s="256"/>
      <c r="M141" s="256"/>
    </row>
    <row r="142" spans="1:13">
      <c r="H142" s="225"/>
    </row>
    <row r="143" spans="1:13">
      <c r="A143" s="1201" t="s">
        <v>459</v>
      </c>
      <c r="B143" s="1201"/>
      <c r="C143" s="1201"/>
      <c r="D143" s="1201"/>
      <c r="E143" s="1201"/>
      <c r="H143" s="266" t="s">
        <v>116</v>
      </c>
      <c r="I143" s="175"/>
    </row>
    <row r="144" spans="1:13">
      <c r="H144" s="267"/>
      <c r="I144" s="176" t="s">
        <v>460</v>
      </c>
    </row>
    <row r="145" spans="1:11">
      <c r="A145" s="177"/>
      <c r="B145" s="177"/>
      <c r="C145" s="178">
        <v>2019</v>
      </c>
      <c r="D145" s="179">
        <v>2022</v>
      </c>
      <c r="E145" s="180">
        <v>2023</v>
      </c>
      <c r="F145" s="265">
        <v>2024</v>
      </c>
      <c r="G145" s="265">
        <v>2025</v>
      </c>
      <c r="H145" s="226"/>
    </row>
    <row r="146" spans="1:11">
      <c r="A146" t="s">
        <v>118</v>
      </c>
      <c r="C146" s="291">
        <v>2801.65</v>
      </c>
      <c r="D146" s="183">
        <v>502.48</v>
      </c>
      <c r="E146" s="184">
        <v>1095.45</v>
      </c>
      <c r="F146" s="277">
        <v>940.5</v>
      </c>
      <c r="G146" s="1038">
        <v>1037.19</v>
      </c>
      <c r="H146" s="226"/>
    </row>
    <row r="147" spans="1:11">
      <c r="A147" t="s">
        <v>119</v>
      </c>
      <c r="C147" s="291">
        <v>289.26</v>
      </c>
      <c r="D147" s="183">
        <v>530.58000000000004</v>
      </c>
      <c r="E147" s="184">
        <v>0</v>
      </c>
      <c r="F147" s="277">
        <v>417.36</v>
      </c>
      <c r="G147" s="1038">
        <v>537.19000000000005</v>
      </c>
      <c r="H147" s="246" t="s">
        <v>120</v>
      </c>
      <c r="I147" s="187">
        <v>169284.41</v>
      </c>
      <c r="J147" s="273"/>
      <c r="K147" s="188"/>
    </row>
    <row r="148" spans="1:11">
      <c r="A148" t="s">
        <v>121</v>
      </c>
      <c r="C148" s="291">
        <v>23059.09</v>
      </c>
      <c r="D148" s="183">
        <v>11299.86</v>
      </c>
      <c r="E148" s="184">
        <v>11588.84</v>
      </c>
      <c r="F148" s="277">
        <v>0</v>
      </c>
      <c r="G148" s="1038">
        <v>180</v>
      </c>
      <c r="H148" s="247" t="s">
        <v>122</v>
      </c>
      <c r="I148" s="190">
        <v>0</v>
      </c>
      <c r="J148" s="271"/>
      <c r="K148" s="188"/>
    </row>
    <row r="149" spans="1:11">
      <c r="A149" t="s">
        <v>123</v>
      </c>
      <c r="C149" s="291">
        <v>19868</v>
      </c>
      <c r="D149" s="183">
        <v>27997.27</v>
      </c>
      <c r="E149" s="184">
        <v>21910</v>
      </c>
      <c r="F149" s="277">
        <v>28771.82</v>
      </c>
      <c r="G149" s="1038">
        <v>25082.73</v>
      </c>
      <c r="H149" s="248" t="s">
        <v>124</v>
      </c>
      <c r="I149" s="192">
        <v>161058.07999999999</v>
      </c>
      <c r="J149" s="232"/>
    </row>
    <row r="150" spans="1:11">
      <c r="A150" t="s">
        <v>125</v>
      </c>
      <c r="C150" s="291">
        <v>238.99</v>
      </c>
      <c r="D150" s="183">
        <v>1827.82</v>
      </c>
      <c r="E150" s="184">
        <v>3992.43</v>
      </c>
      <c r="F150" s="277">
        <v>3942</v>
      </c>
      <c r="G150" s="1038">
        <v>3642.13</v>
      </c>
      <c r="H150" s="246" t="s">
        <v>126</v>
      </c>
      <c r="I150" s="187">
        <v>159918.95000000001</v>
      </c>
      <c r="J150" s="273"/>
      <c r="K150" s="193"/>
    </row>
    <row r="151" spans="1:11">
      <c r="A151" t="s">
        <v>127</v>
      </c>
      <c r="C151" s="291">
        <v>691.04</v>
      </c>
      <c r="D151" s="183">
        <v>231.82</v>
      </c>
      <c r="E151" s="184">
        <v>225.45</v>
      </c>
      <c r="F151" s="277">
        <v>767.95</v>
      </c>
      <c r="G151" s="1038">
        <v>180</v>
      </c>
      <c r="H151" s="249" t="s">
        <v>128</v>
      </c>
      <c r="I151" s="195">
        <v>194266.19</v>
      </c>
    </row>
    <row r="152" spans="1:11">
      <c r="A152" t="s">
        <v>129</v>
      </c>
      <c r="C152" s="291">
        <v>3104.29</v>
      </c>
      <c r="D152" s="183">
        <v>1776.79</v>
      </c>
      <c r="E152" s="184">
        <v>1390.46</v>
      </c>
      <c r="F152" s="277">
        <v>1628.3</v>
      </c>
      <c r="G152" s="1038">
        <v>1804.99</v>
      </c>
      <c r="H152" s="252" t="s">
        <v>130</v>
      </c>
      <c r="I152" s="274">
        <v>227553.7</v>
      </c>
    </row>
    <row r="153" spans="1:11" ht="15.75">
      <c r="A153" t="s">
        <v>131</v>
      </c>
      <c r="C153" s="291">
        <v>25915.040000000001</v>
      </c>
      <c r="D153" s="183">
        <v>27635.73</v>
      </c>
      <c r="E153" s="184">
        <v>42065.25</v>
      </c>
      <c r="F153" s="277">
        <v>33876.699999999997</v>
      </c>
      <c r="G153" s="1038">
        <v>30888.32</v>
      </c>
      <c r="H153" s="253" t="s">
        <v>132</v>
      </c>
      <c r="I153" s="554">
        <v>242041.98</v>
      </c>
    </row>
    <row r="154" spans="1:11">
      <c r="A154" t="s">
        <v>133</v>
      </c>
      <c r="C154" s="291">
        <v>1720.45</v>
      </c>
      <c r="D154" s="183">
        <v>1436.36</v>
      </c>
      <c r="E154" s="184">
        <v>1873.63</v>
      </c>
      <c r="F154" s="277">
        <v>1775.45</v>
      </c>
      <c r="G154" s="1038">
        <v>950.36</v>
      </c>
      <c r="H154" s="226"/>
    </row>
    <row r="155" spans="1:11">
      <c r="A155" t="s">
        <v>8</v>
      </c>
      <c r="C155" s="291">
        <v>7216.52</v>
      </c>
      <c r="D155" s="183">
        <v>1660.45</v>
      </c>
      <c r="E155" s="184">
        <v>2285.39</v>
      </c>
      <c r="F155" s="277">
        <v>2458.14</v>
      </c>
      <c r="G155" s="1038">
        <v>5911.42</v>
      </c>
      <c r="H155" s="226"/>
      <c r="I155" s="275"/>
      <c r="J155" s="198" t="s">
        <v>134</v>
      </c>
      <c r="K155" s="1152">
        <f>I153-I147</f>
        <v>72757.570000000007</v>
      </c>
    </row>
    <row r="156" spans="1:11">
      <c r="A156" s="177"/>
      <c r="B156" s="177"/>
      <c r="D156" s="200"/>
      <c r="E156" s="201"/>
      <c r="F156" s="278"/>
      <c r="H156" s="226"/>
      <c r="I156" s="275"/>
      <c r="J156" s="198" t="s">
        <v>135</v>
      </c>
      <c r="K156" s="293">
        <f>I153-I148</f>
        <v>242041.98</v>
      </c>
    </row>
    <row r="157" spans="1:11">
      <c r="B157" s="294" t="s">
        <v>137</v>
      </c>
      <c r="C157" s="330">
        <v>84904.33</v>
      </c>
      <c r="D157" s="203">
        <f>SUM(D146:D155)</f>
        <v>74899.16</v>
      </c>
      <c r="E157" s="204">
        <f>SUM(E146:E155)</f>
        <v>86426.900000000009</v>
      </c>
      <c r="F157" s="286">
        <f>SUM(F146:F155)</f>
        <v>74578.22</v>
      </c>
      <c r="G157" s="286">
        <f>SUM(G146:G155)</f>
        <v>70214.33</v>
      </c>
      <c r="H157" s="226"/>
      <c r="I157" s="275"/>
      <c r="J157" s="198" t="s">
        <v>136</v>
      </c>
      <c r="K157" s="1152">
        <f>I153-I149</f>
        <v>80983.900000000023</v>
      </c>
    </row>
    <row r="158" spans="1:11">
      <c r="D158" s="206"/>
      <c r="H158" s="226"/>
      <c r="I158" s="275"/>
      <c r="J158" s="198" t="s">
        <v>138</v>
      </c>
      <c r="K158" s="195">
        <f>I153-I150</f>
        <v>82123.03</v>
      </c>
    </row>
    <row r="159" spans="1:11">
      <c r="C159" s="239" t="s">
        <v>134</v>
      </c>
      <c r="D159" s="296">
        <f>G157-C157</f>
        <v>-14690</v>
      </c>
      <c r="H159" s="226"/>
      <c r="I159" s="275"/>
      <c r="J159" s="198" t="s">
        <v>139</v>
      </c>
      <c r="K159" s="235">
        <f>I153-I151</f>
        <v>47775.790000000008</v>
      </c>
    </row>
    <row r="160" spans="1:11">
      <c r="C160" s="241" t="s">
        <v>138</v>
      </c>
      <c r="D160" s="297">
        <f>G157-D157</f>
        <v>-4684.8300000000017</v>
      </c>
      <c r="H160" s="226"/>
      <c r="J160" s="212" t="s">
        <v>140</v>
      </c>
      <c r="K160" s="235">
        <f>I153-I152</f>
        <v>14488.279999999999</v>
      </c>
    </row>
    <row r="161" spans="1:13">
      <c r="C161" s="240" t="s">
        <v>139</v>
      </c>
      <c r="D161" s="645">
        <f>G157-E157</f>
        <v>-16212.570000000007</v>
      </c>
      <c r="H161" s="226"/>
    </row>
    <row r="162" spans="1:13">
      <c r="C162" s="213" t="s">
        <v>140</v>
      </c>
      <c r="D162" s="1036">
        <f>G157-F157</f>
        <v>-4363.8899999999994</v>
      </c>
      <c r="H162" s="251"/>
    </row>
    <row r="163" spans="1:13">
      <c r="A163" s="256"/>
      <c r="B163" s="256"/>
      <c r="C163" s="256"/>
      <c r="D163" s="256"/>
      <c r="E163" s="256"/>
      <c r="F163" s="256"/>
      <c r="G163" s="290"/>
      <c r="H163" s="257"/>
      <c r="I163" s="256"/>
      <c r="J163" s="256"/>
      <c r="K163" s="256"/>
      <c r="L163" s="256"/>
      <c r="M163" s="256"/>
    </row>
  </sheetData>
  <mergeCells count="5">
    <mergeCell ref="A99:E99"/>
    <mergeCell ref="A121:E121"/>
    <mergeCell ref="A143:E143"/>
    <mergeCell ref="B3:C3"/>
    <mergeCell ref="B91:F91"/>
  </mergeCells>
  <pageMargins left="0.7" right="0.7" top="0.75" bottom="0.75" header="0.3" footer="0.3"/>
  <pageSetup paperSize="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4665F-C28C-4AD5-93F9-CFF5941FB78E}">
  <dimension ref="A1:K171"/>
  <sheetViews>
    <sheetView topLeftCell="A84" workbookViewId="0">
      <selection activeCell="F36" sqref="F36"/>
    </sheetView>
  </sheetViews>
  <sheetFormatPr defaultColWidth="11.42578125" defaultRowHeight="15"/>
  <cols>
    <col min="1" max="1" width="27.28515625" customWidth="1"/>
    <col min="2" max="2" width="27.42578125" customWidth="1"/>
    <col min="3" max="3" width="25.140625" customWidth="1"/>
    <col min="4" max="4" width="30.28515625" customWidth="1"/>
    <col min="5" max="5" width="27.28515625" customWidth="1"/>
    <col min="6" max="6" width="26.5703125" customWidth="1"/>
    <col min="7" max="7" width="26.42578125" customWidth="1"/>
    <col min="8" max="11" width="20.7109375" customWidth="1"/>
  </cols>
  <sheetData>
    <row r="1" spans="1:9" ht="30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 spans="1:9" ht="30" customHeight="1">
      <c r="A2" s="6">
        <v>1</v>
      </c>
      <c r="B2" s="7" t="s">
        <v>9</v>
      </c>
      <c r="C2" s="8" t="s">
        <v>9</v>
      </c>
      <c r="D2" s="9" t="s">
        <v>9</v>
      </c>
      <c r="E2" s="8" t="s">
        <v>9</v>
      </c>
      <c r="F2" s="8" t="s">
        <v>9</v>
      </c>
      <c r="G2" s="10" t="s">
        <v>9</v>
      </c>
      <c r="H2" s="150"/>
      <c r="I2" s="11" t="s">
        <v>9</v>
      </c>
    </row>
    <row r="3" spans="1:9" ht="30" customHeight="1">
      <c r="A3" s="12">
        <v>2</v>
      </c>
      <c r="B3" s="7" t="s">
        <v>9</v>
      </c>
      <c r="C3" s="8" t="s">
        <v>9</v>
      </c>
      <c r="D3" s="9" t="s">
        <v>9</v>
      </c>
      <c r="E3" s="8" t="s">
        <v>9</v>
      </c>
      <c r="F3" s="8" t="s">
        <v>9</v>
      </c>
      <c r="G3" s="13" t="s">
        <v>9</v>
      </c>
      <c r="H3" s="14" t="s">
        <v>9</v>
      </c>
      <c r="I3" s="15" t="s">
        <v>9</v>
      </c>
    </row>
    <row r="4" spans="1:9" ht="30" customHeight="1">
      <c r="A4" s="16">
        <v>3</v>
      </c>
      <c r="B4" s="812" t="s">
        <v>461</v>
      </c>
      <c r="C4" s="812" t="s">
        <v>461</v>
      </c>
      <c r="D4" s="812" t="s">
        <v>461</v>
      </c>
      <c r="E4" s="812" t="s">
        <v>461</v>
      </c>
      <c r="F4" s="812" t="s">
        <v>461</v>
      </c>
      <c r="G4" s="813"/>
      <c r="H4" s="813"/>
      <c r="I4" s="7" t="s">
        <v>9</v>
      </c>
    </row>
    <row r="5" spans="1:9" ht="30" customHeight="1">
      <c r="A5" s="16">
        <v>4</v>
      </c>
      <c r="B5" s="812" t="s">
        <v>461</v>
      </c>
      <c r="C5" s="812" t="s">
        <v>461</v>
      </c>
      <c r="D5" s="812" t="s">
        <v>461</v>
      </c>
      <c r="E5" s="1173" t="s">
        <v>461</v>
      </c>
      <c r="F5" s="1173" t="s">
        <v>461</v>
      </c>
      <c r="G5" s="155" t="s">
        <v>462</v>
      </c>
      <c r="H5" s="813"/>
      <c r="I5" s="7" t="s">
        <v>9</v>
      </c>
    </row>
    <row r="6" spans="1:9" ht="30" customHeight="1">
      <c r="A6" s="16">
        <v>5</v>
      </c>
      <c r="B6" s="813"/>
      <c r="C6" s="813"/>
      <c r="D6" s="1172"/>
      <c r="E6" s="1171" t="s">
        <v>463</v>
      </c>
      <c r="F6" s="1174" t="s">
        <v>463</v>
      </c>
      <c r="G6" s="331"/>
      <c r="H6" s="813"/>
      <c r="I6" s="7" t="s">
        <v>9</v>
      </c>
    </row>
    <row r="7" spans="1:9" ht="30" customHeight="1">
      <c r="A7" s="5">
        <v>6</v>
      </c>
      <c r="B7" s="344"/>
      <c r="C7" s="344"/>
      <c r="D7" s="344"/>
      <c r="E7" s="344"/>
      <c r="F7" s="344"/>
      <c r="G7" s="44"/>
      <c r="H7" s="474"/>
      <c r="I7" s="11" t="s">
        <v>9</v>
      </c>
    </row>
    <row r="8" spans="1:9" ht="30" customHeight="1">
      <c r="A8" s="12">
        <v>7</v>
      </c>
      <c r="B8" s="23" t="s">
        <v>9</v>
      </c>
      <c r="C8" s="13" t="s">
        <v>9</v>
      </c>
      <c r="D8" s="13" t="s">
        <v>9</v>
      </c>
      <c r="E8" s="24" t="s">
        <v>9</v>
      </c>
      <c r="F8" s="24" t="s">
        <v>9</v>
      </c>
      <c r="G8" s="25" t="s">
        <v>9</v>
      </c>
      <c r="H8" s="26" t="s">
        <v>9</v>
      </c>
      <c r="I8" s="15" t="s">
        <v>9</v>
      </c>
    </row>
    <row r="9" spans="1:9" ht="30" customHeight="1">
      <c r="A9" s="5">
        <v>8</v>
      </c>
      <c r="B9" s="344"/>
      <c r="C9" s="344"/>
      <c r="D9" s="335"/>
      <c r="E9" s="335"/>
      <c r="F9" s="344"/>
      <c r="G9" s="335"/>
      <c r="H9" s="5"/>
      <c r="I9" s="11" t="s">
        <v>9</v>
      </c>
    </row>
    <row r="10" spans="1:9" ht="30" customHeight="1">
      <c r="A10" s="12">
        <v>9</v>
      </c>
      <c r="B10" s="1193" t="s">
        <v>464</v>
      </c>
      <c r="C10" s="357"/>
      <c r="D10" s="352"/>
      <c r="E10" s="352"/>
      <c r="F10" s="1193" t="s">
        <v>464</v>
      </c>
      <c r="G10" s="25" t="s">
        <v>9</v>
      </c>
      <c r="H10" s="26" t="s">
        <v>9</v>
      </c>
      <c r="I10" s="15" t="s">
        <v>9</v>
      </c>
    </row>
    <row r="11" spans="1:9" ht="30" customHeight="1">
      <c r="A11" s="5">
        <v>10</v>
      </c>
      <c r="B11" s="1194" t="s">
        <v>464</v>
      </c>
      <c r="C11" s="10" t="s">
        <v>9</v>
      </c>
      <c r="D11" s="10" t="s">
        <v>9</v>
      </c>
      <c r="E11" s="150"/>
      <c r="F11" s="690" t="s">
        <v>464</v>
      </c>
      <c r="G11" s="29" t="s">
        <v>9</v>
      </c>
      <c r="H11" s="30" t="s">
        <v>9</v>
      </c>
      <c r="I11" s="11" t="s">
        <v>9</v>
      </c>
    </row>
    <row r="12" spans="1:9" ht="30" customHeight="1">
      <c r="A12" s="12">
        <v>11</v>
      </c>
      <c r="B12" s="1193" t="s">
        <v>464</v>
      </c>
      <c r="C12" s="25" t="s">
        <v>9</v>
      </c>
      <c r="D12" s="356"/>
      <c r="E12" s="359"/>
      <c r="F12" s="690" t="s">
        <v>464</v>
      </c>
      <c r="G12" s="34" t="s">
        <v>9</v>
      </c>
      <c r="H12" s="35" t="s">
        <v>9</v>
      </c>
      <c r="I12" s="15" t="s">
        <v>9</v>
      </c>
    </row>
    <row r="13" spans="1:9" ht="30" customHeight="1">
      <c r="A13" s="5">
        <v>12</v>
      </c>
      <c r="B13" s="41"/>
      <c r="C13" s="42"/>
      <c r="D13" s="43"/>
      <c r="E13" s="44"/>
      <c r="F13" s="43"/>
      <c r="G13" s="44"/>
      <c r="H13" s="45"/>
      <c r="I13" s="46"/>
    </row>
    <row r="14" spans="1:9" ht="30" customHeight="1">
      <c r="A14" s="12">
        <v>13</v>
      </c>
      <c r="B14" s="47"/>
      <c r="C14" s="48"/>
      <c r="D14" s="342"/>
      <c r="E14" s="343"/>
      <c r="F14" s="50"/>
      <c r="G14" s="352"/>
      <c r="H14" s="51"/>
      <c r="I14" s="48"/>
    </row>
    <row r="15" spans="1:9" ht="30" customHeight="1">
      <c r="A15" s="5">
        <v>14</v>
      </c>
      <c r="B15" s="704"/>
      <c r="C15" s="43"/>
      <c r="D15" s="1184" t="s">
        <v>465</v>
      </c>
      <c r="E15" s="150"/>
      <c r="F15" s="351"/>
      <c r="G15" s="335"/>
      <c r="H15" s="54"/>
      <c r="I15" s="44"/>
    </row>
    <row r="16" spans="1:9" ht="30" customHeight="1">
      <c r="A16" s="12">
        <v>15</v>
      </c>
      <c r="B16" s="55"/>
      <c r="C16" s="705"/>
      <c r="D16" s="150"/>
      <c r="E16" s="150"/>
      <c r="F16" s="58"/>
      <c r="G16" s="59"/>
      <c r="H16" s="60"/>
      <c r="I16" s="55"/>
    </row>
    <row r="17" spans="1:9" ht="30" customHeight="1">
      <c r="A17" s="16">
        <v>16</v>
      </c>
      <c r="B17" s="927" t="s">
        <v>466</v>
      </c>
      <c r="C17" s="928" t="s">
        <v>466</v>
      </c>
      <c r="D17" s="927" t="s">
        <v>466</v>
      </c>
      <c r="E17" s="928" t="s">
        <v>466</v>
      </c>
      <c r="F17" s="928" t="s">
        <v>466</v>
      </c>
      <c r="G17" s="411"/>
      <c r="H17" s="60"/>
      <c r="I17" s="61"/>
    </row>
    <row r="18" spans="1:9" ht="30" customHeight="1">
      <c r="A18" s="16">
        <v>17</v>
      </c>
      <c r="B18" s="155"/>
      <c r="C18" s="155"/>
      <c r="D18" s="411"/>
      <c r="E18" s="411"/>
      <c r="F18" s="155"/>
      <c r="G18" s="411"/>
      <c r="H18" s="67"/>
      <c r="I18" s="68"/>
    </row>
    <row r="19" spans="1:9" ht="30" customHeight="1">
      <c r="A19" s="16">
        <v>18</v>
      </c>
      <c r="B19" s="155"/>
      <c r="C19" s="383"/>
      <c r="D19" s="150"/>
      <c r="E19" s="150"/>
      <c r="F19" s="155"/>
      <c r="G19" s="67"/>
      <c r="H19" s="67"/>
      <c r="I19" s="67"/>
    </row>
    <row r="20" spans="1:9" ht="30" customHeight="1">
      <c r="A20" s="16">
        <v>19</v>
      </c>
      <c r="B20" s="155"/>
      <c r="C20" s="383"/>
      <c r="D20" s="150"/>
      <c r="E20" s="150"/>
      <c r="F20" s="155"/>
      <c r="G20" s="67"/>
      <c r="H20" s="67"/>
      <c r="I20" s="67"/>
    </row>
    <row r="21" spans="1:9" ht="30" customHeight="1">
      <c r="A21" s="5">
        <v>20</v>
      </c>
      <c r="B21" s="72"/>
      <c r="C21" s="73"/>
      <c r="D21" s="150"/>
      <c r="E21" s="150"/>
      <c r="F21" s="339"/>
      <c r="G21" s="74"/>
      <c r="H21" s="45"/>
      <c r="I21" s="61"/>
    </row>
    <row r="22" spans="1:9" ht="30" customHeight="1">
      <c r="A22" s="12">
        <v>21</v>
      </c>
      <c r="B22" s="75"/>
      <c r="C22" s="76"/>
      <c r="D22" s="342"/>
      <c r="E22" s="343"/>
      <c r="F22" s="352"/>
      <c r="G22" s="150"/>
      <c r="H22" s="77"/>
      <c r="I22" s="61"/>
    </row>
    <row r="23" spans="1:9" ht="30" customHeight="1">
      <c r="A23" s="16">
        <v>22</v>
      </c>
      <c r="B23" s="78"/>
      <c r="C23" s="74"/>
      <c r="D23" s="412" t="s">
        <v>467</v>
      </c>
      <c r="E23" s="556" t="s">
        <v>468</v>
      </c>
      <c r="F23" s="556" t="s">
        <v>468</v>
      </c>
      <c r="G23" s="477" t="s">
        <v>469</v>
      </c>
      <c r="H23" s="1164" t="s">
        <v>470</v>
      </c>
      <c r="I23" s="61"/>
    </row>
    <row r="24" spans="1:9" ht="30" customHeight="1">
      <c r="A24" s="16">
        <v>23</v>
      </c>
      <c r="B24" s="706"/>
      <c r="C24" s="64"/>
      <c r="D24" s="412" t="s">
        <v>467</v>
      </c>
      <c r="E24" s="1117" t="s">
        <v>471</v>
      </c>
      <c r="F24" s="1117" t="s">
        <v>471</v>
      </c>
      <c r="G24" s="477" t="s">
        <v>469</v>
      </c>
      <c r="H24" s="79"/>
      <c r="I24" s="61"/>
    </row>
    <row r="25" spans="1:9" ht="30" customHeight="1">
      <c r="A25" s="16">
        <v>24</v>
      </c>
      <c r="B25" s="387"/>
      <c r="C25" s="339"/>
      <c r="D25" s="339"/>
      <c r="E25" s="1117" t="s">
        <v>471</v>
      </c>
      <c r="F25" s="1117" t="s">
        <v>471</v>
      </c>
      <c r="G25" s="149"/>
      <c r="H25" s="82"/>
      <c r="I25" s="61"/>
    </row>
    <row r="26" spans="1:9" ht="30" customHeight="1">
      <c r="A26" s="16">
        <v>25</v>
      </c>
      <c r="B26" s="707"/>
      <c r="C26" s="339"/>
      <c r="D26" s="339"/>
      <c r="E26" s="1117" t="s">
        <v>471</v>
      </c>
      <c r="F26" s="1117" t="s">
        <v>471</v>
      </c>
      <c r="G26" s="149"/>
      <c r="H26" s="708"/>
      <c r="I26" s="80"/>
    </row>
    <row r="27" spans="1:9" ht="30" customHeight="1">
      <c r="A27" s="16">
        <v>26</v>
      </c>
      <c r="B27" s="388"/>
      <c r="C27" s="339"/>
      <c r="D27" s="150"/>
      <c r="E27" s="339"/>
      <c r="F27" s="339"/>
      <c r="G27" s="81"/>
      <c r="H27" s="83"/>
      <c r="I27" s="80"/>
    </row>
    <row r="28" spans="1:9" ht="30" customHeight="1">
      <c r="A28" s="16">
        <v>27</v>
      </c>
      <c r="B28" s="155"/>
      <c r="C28" s="155"/>
      <c r="D28" s="150"/>
      <c r="E28" s="155"/>
      <c r="F28" s="150"/>
      <c r="G28" s="155"/>
      <c r="H28" s="150"/>
      <c r="I28" s="61"/>
    </row>
    <row r="29" spans="1:9" ht="30" customHeight="1">
      <c r="A29" s="16">
        <v>28</v>
      </c>
      <c r="B29" s="155"/>
      <c r="C29" s="155"/>
      <c r="D29" s="155"/>
      <c r="E29" s="155"/>
      <c r="F29" s="155"/>
      <c r="G29" s="155"/>
      <c r="H29" s="155"/>
      <c r="I29" s="61"/>
    </row>
    <row r="30" spans="1:9" ht="30" customHeight="1">
      <c r="A30" s="16">
        <v>29</v>
      </c>
      <c r="B30" s="344"/>
      <c r="C30" s="155"/>
      <c r="D30" s="155"/>
      <c r="E30" s="155"/>
      <c r="F30" s="155"/>
      <c r="G30" s="155"/>
      <c r="H30" s="155"/>
      <c r="I30" s="80"/>
    </row>
    <row r="31" spans="1:9" ht="30" customHeight="1">
      <c r="A31" s="16">
        <v>30</v>
      </c>
      <c r="B31" s="1160"/>
      <c r="C31" s="1160"/>
      <c r="D31" s="1160"/>
      <c r="E31" s="1160"/>
      <c r="F31" s="1160"/>
      <c r="G31" s="498"/>
      <c r="H31" s="347"/>
      <c r="I31" s="61"/>
    </row>
    <row r="32" spans="1:9" ht="30" customHeight="1">
      <c r="A32" s="5">
        <v>31</v>
      </c>
      <c r="B32" s="1160"/>
      <c r="C32" s="1160"/>
      <c r="D32" s="1160"/>
      <c r="E32" s="1160"/>
      <c r="F32" s="1160"/>
      <c r="G32" s="498"/>
      <c r="H32" s="45"/>
      <c r="I32" s="61"/>
    </row>
    <row r="33" spans="1:9" ht="15.75">
      <c r="A33" s="449" t="s">
        <v>39</v>
      </c>
      <c r="B33" s="37" t="s">
        <v>1</v>
      </c>
      <c r="C33" s="37" t="s">
        <v>2</v>
      </c>
      <c r="D33" s="156" t="s">
        <v>3</v>
      </c>
      <c r="E33" s="157" t="s">
        <v>4</v>
      </c>
      <c r="F33" s="37" t="s">
        <v>5</v>
      </c>
      <c r="G33" s="37" t="s">
        <v>6</v>
      </c>
      <c r="H33" s="3" t="s">
        <v>7</v>
      </c>
      <c r="I33" s="39" t="s">
        <v>8</v>
      </c>
    </row>
    <row r="34" spans="1:9">
      <c r="A34" s="7">
        <v>1</v>
      </c>
      <c r="B34" s="498"/>
      <c r="C34" s="498"/>
      <c r="D34" s="498"/>
      <c r="E34" s="498"/>
      <c r="F34" s="498"/>
      <c r="G34" s="498"/>
      <c r="H34" s="64"/>
      <c r="I34" s="43"/>
    </row>
    <row r="35" spans="1:9">
      <c r="A35" s="7">
        <v>2</v>
      </c>
      <c r="B35" s="498"/>
      <c r="C35" s="498"/>
      <c r="D35" s="498"/>
      <c r="E35" s="498"/>
      <c r="F35" s="498"/>
      <c r="G35" s="498"/>
      <c r="H35" s="74"/>
      <c r="I35" s="64"/>
    </row>
    <row r="36" spans="1:9" ht="15.75">
      <c r="A36" s="7">
        <v>3</v>
      </c>
      <c r="B36" s="95"/>
      <c r="C36" s="91"/>
      <c r="D36" s="709"/>
      <c r="E36" s="709"/>
      <c r="F36" s="1200" t="s">
        <v>472</v>
      </c>
      <c r="G36" s="74"/>
      <c r="H36" s="74"/>
      <c r="I36" s="64"/>
    </row>
    <row r="37" spans="1:9" ht="15.75">
      <c r="A37" s="7">
        <v>4</v>
      </c>
      <c r="B37" s="399"/>
      <c r="C37" s="399"/>
      <c r="D37" s="332"/>
      <c r="E37" s="332"/>
      <c r="F37" s="710"/>
      <c r="G37" s="332"/>
      <c r="H37" s="150"/>
      <c r="I37" s="64"/>
    </row>
    <row r="38" spans="1:9" ht="18.75">
      <c r="A38" s="7">
        <v>5</v>
      </c>
      <c r="B38" s="149"/>
      <c r="C38" s="455"/>
      <c r="D38" s="150"/>
      <c r="E38" s="150"/>
      <c r="F38" s="710"/>
      <c r="G38" s="150"/>
      <c r="H38" s="150"/>
      <c r="I38" s="64"/>
    </row>
    <row r="39" spans="1:9">
      <c r="A39" s="7">
        <v>6</v>
      </c>
      <c r="B39" s="713"/>
      <c r="C39" s="149"/>
      <c r="D39" s="499" t="s">
        <v>473</v>
      </c>
      <c r="E39" s="149"/>
      <c r="F39" s="163"/>
      <c r="G39" s="149"/>
      <c r="H39" s="711"/>
      <c r="I39" s="43"/>
    </row>
    <row r="40" spans="1:9">
      <c r="A40" s="7">
        <v>7</v>
      </c>
      <c r="B40" s="713"/>
      <c r="C40" s="150"/>
      <c r="D40" s="336" t="s">
        <v>474</v>
      </c>
      <c r="E40" s="150"/>
      <c r="F40" s="163"/>
      <c r="G40" s="149"/>
      <c r="H40" s="399"/>
      <c r="I40" s="64"/>
    </row>
    <row r="41" spans="1:9">
      <c r="A41" s="7">
        <v>8</v>
      </c>
      <c r="B41" s="713"/>
      <c r="C41" s="339"/>
      <c r="D41" s="336" t="s">
        <v>474</v>
      </c>
      <c r="E41" s="339"/>
      <c r="F41" s="712"/>
      <c r="G41" s="43"/>
      <c r="H41" s="711"/>
      <c r="I41" s="64"/>
    </row>
    <row r="42" spans="1:9">
      <c r="A42" s="7">
        <v>9</v>
      </c>
      <c r="B42" s="150"/>
      <c r="C42" s="150"/>
      <c r="D42" s="339"/>
      <c r="E42" s="339"/>
      <c r="F42" s="150"/>
      <c r="G42" s="64"/>
      <c r="H42" s="340"/>
      <c r="I42" s="64"/>
    </row>
    <row r="43" spans="1:9">
      <c r="A43" s="7">
        <v>10</v>
      </c>
      <c r="B43" s="64"/>
      <c r="C43" s="43"/>
      <c r="D43" s="339"/>
      <c r="E43" s="399"/>
      <c r="F43" s="339"/>
      <c r="G43" s="339"/>
      <c r="H43" s="100"/>
      <c r="I43" s="64"/>
    </row>
    <row r="44" spans="1:9">
      <c r="A44" s="7">
        <v>11</v>
      </c>
      <c r="B44" s="64"/>
      <c r="C44" s="43"/>
      <c r="D44" s="43"/>
      <c r="E44" s="43"/>
      <c r="F44" s="67"/>
      <c r="G44" s="64"/>
      <c r="H44" s="64"/>
      <c r="I44" s="64"/>
    </row>
    <row r="45" spans="1:9" ht="15.75">
      <c r="A45" s="7">
        <v>12</v>
      </c>
      <c r="B45" s="91"/>
      <c r="C45" s="43"/>
      <c r="D45" s="54"/>
      <c r="E45" s="371"/>
      <c r="F45" s="547"/>
      <c r="G45" s="64"/>
      <c r="H45" s="64"/>
      <c r="I45" s="43"/>
    </row>
    <row r="46" spans="1:9" ht="15.75">
      <c r="A46" s="7">
        <v>13</v>
      </c>
      <c r="B46" s="150"/>
      <c r="C46" s="64"/>
      <c r="D46" s="151"/>
      <c r="E46" s="548" t="s">
        <v>475</v>
      </c>
      <c r="F46" s="549" t="s">
        <v>476</v>
      </c>
      <c r="G46" s="151"/>
      <c r="H46" s="64"/>
      <c r="I46" s="54"/>
    </row>
    <row r="47" spans="1:9" ht="15.75">
      <c r="A47" s="7">
        <v>14</v>
      </c>
      <c r="B47" s="395"/>
      <c r="C47" s="395"/>
      <c r="D47" s="1185"/>
      <c r="E47" s="395"/>
      <c r="F47" s="395"/>
      <c r="G47" s="151"/>
      <c r="H47" s="102"/>
      <c r="I47" s="134"/>
    </row>
    <row r="48" spans="1:9" ht="15.75">
      <c r="A48" s="16">
        <v>15</v>
      </c>
      <c r="B48" s="395"/>
      <c r="C48" s="395"/>
      <c r="D48" s="395"/>
      <c r="E48" s="395"/>
      <c r="F48" s="395"/>
      <c r="G48" s="103"/>
      <c r="H48" s="714"/>
      <c r="I48" s="43"/>
    </row>
    <row r="49" spans="1:9" ht="15.75">
      <c r="A49" s="16">
        <v>16</v>
      </c>
      <c r="B49" s="395"/>
      <c r="C49" s="395"/>
      <c r="D49" s="395"/>
      <c r="E49" s="395"/>
      <c r="F49" s="395"/>
      <c r="G49" s="49"/>
      <c r="H49" s="715"/>
      <c r="I49" s="64"/>
    </row>
    <row r="50" spans="1:9">
      <c r="A50" s="16">
        <v>17</v>
      </c>
      <c r="B50" s="401"/>
      <c r="C50" s="395"/>
      <c r="D50" s="395"/>
      <c r="E50" s="395"/>
      <c r="F50" s="395"/>
      <c r="G50" s="43"/>
      <c r="H50" s="106"/>
      <c r="I50" s="64"/>
    </row>
    <row r="51" spans="1:9">
      <c r="A51" s="16">
        <v>18</v>
      </c>
      <c r="B51" s="716"/>
      <c r="C51" s="108"/>
      <c r="D51" s="163"/>
      <c r="E51" s="331"/>
      <c r="F51" s="108"/>
      <c r="G51" s="165"/>
      <c r="H51" s="110"/>
      <c r="I51" s="108"/>
    </row>
    <row r="52" spans="1:9">
      <c r="A52" s="7">
        <v>19</v>
      </c>
      <c r="B52" s="565"/>
      <c r="C52" s="565"/>
      <c r="D52" s="485" t="s">
        <v>477</v>
      </c>
      <c r="E52" s="565"/>
      <c r="F52" s="565"/>
      <c r="G52" s="170"/>
      <c r="H52" s="64"/>
      <c r="I52" s="64"/>
    </row>
    <row r="53" spans="1:9">
      <c r="A53" s="7">
        <v>20</v>
      </c>
      <c r="B53" s="565"/>
      <c r="C53" s="565"/>
      <c r="D53" s="485" t="s">
        <v>478</v>
      </c>
      <c r="E53" s="565"/>
      <c r="F53" s="565"/>
      <c r="G53" s="170"/>
      <c r="H53" s="399"/>
      <c r="I53" s="64"/>
    </row>
    <row r="54" spans="1:9">
      <c r="A54" s="7">
        <v>21</v>
      </c>
      <c r="B54" s="565"/>
      <c r="C54" s="565"/>
      <c r="D54" s="565"/>
      <c r="E54" s="170"/>
      <c r="F54" s="170"/>
      <c r="G54" s="170"/>
      <c r="H54" s="399"/>
      <c r="I54" s="61"/>
    </row>
    <row r="55" spans="1:9">
      <c r="A55" s="7">
        <v>22</v>
      </c>
      <c r="B55" s="565"/>
      <c r="C55" s="565"/>
      <c r="D55" s="1153" t="s">
        <v>479</v>
      </c>
      <c r="E55" s="565"/>
      <c r="F55" s="565"/>
      <c r="G55" s="170"/>
      <c r="H55" s="717"/>
      <c r="I55" s="64"/>
    </row>
    <row r="56" spans="1:9" ht="15.75">
      <c r="A56" s="7">
        <v>23</v>
      </c>
      <c r="B56" s="339"/>
      <c r="C56" s="339"/>
      <c r="D56" s="1154" t="s">
        <v>480</v>
      </c>
      <c r="E56" s="372"/>
      <c r="F56" s="151"/>
      <c r="G56" s="81"/>
      <c r="H56" s="718"/>
      <c r="I56" s="64"/>
    </row>
    <row r="57" spans="1:9" ht="15.75">
      <c r="A57" s="7">
        <v>24</v>
      </c>
      <c r="B57" s="719"/>
      <c r="C57" s="445"/>
      <c r="D57" s="720"/>
      <c r="E57" s="721"/>
      <c r="F57" s="711"/>
      <c r="G57" s="81"/>
      <c r="H57" s="100"/>
      <c r="I57" s="112"/>
    </row>
    <row r="58" spans="1:9" ht="18">
      <c r="A58" s="7">
        <v>25</v>
      </c>
      <c r="B58" s="719"/>
      <c r="C58" s="84"/>
      <c r="D58" s="1099" t="s">
        <v>75</v>
      </c>
      <c r="E58" s="81"/>
      <c r="F58" s="381" t="s">
        <v>481</v>
      </c>
      <c r="G58" s="64"/>
      <c r="H58" s="64"/>
      <c r="I58" s="134"/>
    </row>
    <row r="59" spans="1:9" ht="18">
      <c r="A59" s="11">
        <v>26</v>
      </c>
      <c r="B59" s="1195" t="s">
        <v>482</v>
      </c>
      <c r="C59" s="339"/>
      <c r="D59" s="1097" t="s">
        <v>75</v>
      </c>
      <c r="E59" s="151"/>
      <c r="F59" s="389" t="s">
        <v>88</v>
      </c>
      <c r="G59" s="54"/>
      <c r="H59" s="358"/>
      <c r="I59" s="722"/>
    </row>
    <row r="60" spans="1:9" ht="18">
      <c r="A60" s="15">
        <v>27</v>
      </c>
      <c r="B60" s="719"/>
      <c r="C60" s="81"/>
      <c r="D60" s="1098" t="s">
        <v>75</v>
      </c>
      <c r="E60" s="154"/>
      <c r="F60" s="381" t="s">
        <v>88</v>
      </c>
      <c r="G60" s="326"/>
      <c r="H60" s="326"/>
      <c r="I60" s="43"/>
    </row>
    <row r="61" spans="1:9">
      <c r="A61" s="7">
        <v>28</v>
      </c>
      <c r="B61" s="154"/>
      <c r="C61" s="446"/>
      <c r="D61" s="1161"/>
      <c r="E61" s="170"/>
      <c r="F61" s="170"/>
      <c r="G61" s="327"/>
      <c r="H61" s="327"/>
      <c r="I61" s="64"/>
    </row>
    <row r="62" spans="1:9" ht="15.75">
      <c r="A62" s="40" t="s">
        <v>81</v>
      </c>
      <c r="B62" s="3" t="s">
        <v>1</v>
      </c>
      <c r="C62" s="3" t="s">
        <v>2</v>
      </c>
      <c r="D62" s="328" t="s">
        <v>3</v>
      </c>
      <c r="E62" s="329" t="s">
        <v>4</v>
      </c>
      <c r="F62" s="37" t="s">
        <v>5</v>
      </c>
      <c r="G62" s="3" t="s">
        <v>6</v>
      </c>
      <c r="H62" s="3" t="s">
        <v>7</v>
      </c>
      <c r="I62" s="4" t="s">
        <v>8</v>
      </c>
    </row>
    <row r="63" spans="1:9" ht="28.5">
      <c r="A63" s="7">
        <v>1</v>
      </c>
      <c r="B63" s="165"/>
      <c r="C63" s="165"/>
      <c r="D63" s="1030" t="s">
        <v>483</v>
      </c>
      <c r="E63" s="167"/>
      <c r="F63" s="723"/>
      <c r="G63" s="97"/>
      <c r="H63" s="724"/>
      <c r="I63" s="43"/>
    </row>
    <row r="64" spans="1:9">
      <c r="A64" s="7">
        <v>2</v>
      </c>
      <c r="B64" s="64"/>
      <c r="C64" s="74"/>
      <c r="D64" s="345" t="s">
        <v>95</v>
      </c>
      <c r="E64" s="711"/>
      <c r="F64" s="530"/>
      <c r="G64" s="64"/>
      <c r="H64" s="74"/>
      <c r="I64" s="64"/>
    </row>
    <row r="65" spans="1:9">
      <c r="A65" s="7">
        <v>3</v>
      </c>
      <c r="B65" s="120"/>
      <c r="C65" s="120"/>
      <c r="D65" s="339"/>
      <c r="E65" s="339"/>
      <c r="F65" s="530"/>
      <c r="G65" s="64"/>
      <c r="H65" s="64"/>
      <c r="I65" s="44"/>
    </row>
    <row r="66" spans="1:9" ht="28.5">
      <c r="A66" s="7">
        <v>4</v>
      </c>
      <c r="B66" s="120"/>
      <c r="C66" s="120"/>
      <c r="D66" s="725"/>
      <c r="E66" s="635"/>
      <c r="F66" s="726"/>
      <c r="G66" s="451"/>
      <c r="H66" s="727"/>
      <c r="I66" s="1182" t="s">
        <v>484</v>
      </c>
    </row>
    <row r="67" spans="1:9" ht="15.75">
      <c r="A67" s="7">
        <v>5</v>
      </c>
      <c r="B67" s="151"/>
      <c r="C67" s="1162"/>
      <c r="D67" s="1157"/>
      <c r="E67" s="163"/>
      <c r="F67" s="429"/>
      <c r="G67" s="430"/>
      <c r="H67" s="428"/>
      <c r="I67" s="123"/>
    </row>
    <row r="68" spans="1:9" ht="15.75">
      <c r="A68" s="7">
        <v>6</v>
      </c>
      <c r="B68" s="151"/>
      <c r="C68" s="1162"/>
      <c r="D68" s="1163"/>
      <c r="E68" s="458"/>
      <c r="F68" s="458"/>
      <c r="G68" s="134"/>
      <c r="H68" s="428"/>
      <c r="I68" s="43"/>
    </row>
    <row r="69" spans="1:9">
      <c r="A69" s="7">
        <v>7</v>
      </c>
      <c r="B69" s="1180" t="s">
        <v>485</v>
      </c>
      <c r="C69" s="1180" t="s">
        <v>485</v>
      </c>
      <c r="D69" s="1180" t="s">
        <v>485</v>
      </c>
      <c r="E69" s="163"/>
      <c r="F69" s="163"/>
      <c r="G69" s="127"/>
      <c r="H69" s="136"/>
      <c r="I69" s="64"/>
    </row>
    <row r="70" spans="1:9" ht="15.75">
      <c r="A70" s="7">
        <v>8</v>
      </c>
      <c r="B70" s="1180" t="s">
        <v>485</v>
      </c>
      <c r="C70" s="1180" t="s">
        <v>485</v>
      </c>
      <c r="D70" s="1180" t="s">
        <v>485</v>
      </c>
      <c r="E70" s="163"/>
      <c r="F70" s="163"/>
      <c r="G70" s="64"/>
      <c r="H70" s="714"/>
      <c r="I70" s="64"/>
    </row>
    <row r="71" spans="1:9" ht="15.75">
      <c r="A71" s="7">
        <v>9</v>
      </c>
      <c r="B71" s="128"/>
      <c r="C71" s="73"/>
      <c r="D71" s="43"/>
      <c r="E71" s="128"/>
      <c r="F71" s="128"/>
      <c r="G71" s="64"/>
      <c r="H71" s="715"/>
      <c r="I71" s="64"/>
    </row>
    <row r="72" spans="1:9">
      <c r="A72" s="7">
        <v>10</v>
      </c>
      <c r="B72" s="446"/>
      <c r="C72" s="154"/>
      <c r="D72" s="43"/>
      <c r="E72" s="339"/>
      <c r="F72" s="128"/>
      <c r="G72" s="129"/>
      <c r="H72" s="130"/>
      <c r="I72" s="64"/>
    </row>
    <row r="73" spans="1:9">
      <c r="A73" s="7">
        <v>11</v>
      </c>
      <c r="B73" s="339"/>
      <c r="C73" s="150"/>
      <c r="D73" s="150"/>
      <c r="E73" s="339"/>
      <c r="F73" s="150"/>
      <c r="G73" s="150"/>
      <c r="H73" s="150"/>
      <c r="I73" s="64"/>
    </row>
    <row r="74" spans="1:9">
      <c r="A74" s="7">
        <v>12</v>
      </c>
      <c r="B74" s="150"/>
      <c r="C74" s="150"/>
      <c r="D74" s="150"/>
      <c r="E74" s="150"/>
      <c r="F74" s="150"/>
      <c r="G74" s="170"/>
      <c r="H74" s="150"/>
      <c r="I74" s="43"/>
    </row>
    <row r="75" spans="1:9">
      <c r="A75" s="7">
        <v>13</v>
      </c>
      <c r="B75" s="150"/>
      <c r="C75" s="458"/>
      <c r="D75" s="458"/>
      <c r="E75" s="342"/>
      <c r="F75" s="343"/>
      <c r="G75" s="91"/>
      <c r="H75" s="326"/>
      <c r="I75" s="43"/>
    </row>
    <row r="76" spans="1:9" ht="31.5" customHeight="1">
      <c r="A76" s="7">
        <v>14</v>
      </c>
      <c r="B76" s="43"/>
      <c r="C76" s="88"/>
      <c r="D76" s="471"/>
      <c r="E76" s="396"/>
      <c r="F76" s="415"/>
      <c r="G76" s="416"/>
      <c r="H76" s="1007" t="s">
        <v>486</v>
      </c>
      <c r="I76" s="43"/>
    </row>
    <row r="77" spans="1:9">
      <c r="A77" s="7">
        <v>15</v>
      </c>
      <c r="B77" s="85"/>
      <c r="C77" s="85"/>
      <c r="D77" s="464"/>
      <c r="E77" s="420"/>
      <c r="F77" s="1178" t="s">
        <v>487</v>
      </c>
      <c r="G77" s="728"/>
      <c r="H77" s="729"/>
      <c r="I77" s="43"/>
    </row>
    <row r="78" spans="1:9" ht="28.5">
      <c r="A78" s="7">
        <v>16</v>
      </c>
      <c r="B78" s="91"/>
      <c r="C78" s="91"/>
      <c r="D78" s="730"/>
      <c r="E78" s="420"/>
      <c r="F78" s="1179" t="s">
        <v>488</v>
      </c>
      <c r="G78" s="420"/>
      <c r="H78" s="731"/>
      <c r="I78" s="64"/>
    </row>
    <row r="79" spans="1:9" ht="28.5">
      <c r="A79" s="7">
        <v>17</v>
      </c>
      <c r="B79" s="85"/>
      <c r="C79" s="85"/>
      <c r="D79" s="458"/>
      <c r="E79" s="85"/>
      <c r="F79" s="576" t="s">
        <v>488</v>
      </c>
      <c r="G79" s="81"/>
      <c r="H79" s="136"/>
      <c r="I79" s="113"/>
    </row>
    <row r="80" spans="1:9">
      <c r="A80" s="7">
        <v>18</v>
      </c>
      <c r="B80" s="67"/>
      <c r="C80" s="91"/>
      <c r="D80" s="458"/>
      <c r="E80" s="436"/>
      <c r="F80" s="150"/>
      <c r="G80" s="64"/>
      <c r="H80" s="43"/>
      <c r="I80" s="43"/>
    </row>
    <row r="81" spans="1:9">
      <c r="A81" s="7">
        <v>19</v>
      </c>
      <c r="B81" s="571"/>
      <c r="C81" s="340"/>
      <c r="D81" s="340"/>
      <c r="E81" s="340"/>
      <c r="F81" s="340"/>
      <c r="G81" s="340"/>
      <c r="H81" s="340"/>
      <c r="I81" s="43"/>
    </row>
    <row r="82" spans="1:9">
      <c r="A82" s="16">
        <v>20</v>
      </c>
      <c r="B82" s="1199" t="s">
        <v>489</v>
      </c>
      <c r="C82" s="1199" t="s">
        <v>489</v>
      </c>
      <c r="D82" s="1199" t="s">
        <v>489</v>
      </c>
      <c r="E82" s="1199" t="s">
        <v>489</v>
      </c>
      <c r="F82" s="1199" t="s">
        <v>489</v>
      </c>
      <c r="G82" s="841"/>
      <c r="H82" s="43"/>
      <c r="I82" s="43"/>
    </row>
    <row r="83" spans="1:9">
      <c r="A83" s="16">
        <v>21</v>
      </c>
      <c r="B83" s="1199" t="s">
        <v>489</v>
      </c>
      <c r="C83" s="1199" t="s">
        <v>489</v>
      </c>
      <c r="D83" s="1199" t="s">
        <v>489</v>
      </c>
      <c r="E83" s="1199" t="s">
        <v>489</v>
      </c>
      <c r="F83" s="1199" t="s">
        <v>489</v>
      </c>
      <c r="G83" s="841"/>
      <c r="H83" s="64"/>
      <c r="I83" s="81"/>
    </row>
    <row r="84" spans="1:9">
      <c r="A84" s="16">
        <v>22</v>
      </c>
      <c r="B84" s="1199" t="s">
        <v>489</v>
      </c>
      <c r="C84" s="1199" t="s">
        <v>489</v>
      </c>
      <c r="D84" s="1199" t="s">
        <v>489</v>
      </c>
      <c r="E84" s="1199" t="s">
        <v>489</v>
      </c>
      <c r="F84" s="1199" t="s">
        <v>489</v>
      </c>
      <c r="G84" s="841"/>
      <c r="H84" s="64"/>
      <c r="I84" s="43"/>
    </row>
    <row r="85" spans="1:9">
      <c r="A85" s="16">
        <v>23</v>
      </c>
      <c r="B85" s="1199" t="s">
        <v>489</v>
      </c>
      <c r="C85" s="1199" t="s">
        <v>489</v>
      </c>
      <c r="D85" s="1199" t="s">
        <v>489</v>
      </c>
      <c r="E85" s="1199" t="s">
        <v>489</v>
      </c>
      <c r="F85" s="1199" t="s">
        <v>489</v>
      </c>
      <c r="G85" s="841"/>
      <c r="H85" s="64"/>
      <c r="I85" s="64"/>
    </row>
    <row r="86" spans="1:9">
      <c r="A86" s="16">
        <v>24</v>
      </c>
      <c r="B86" s="142"/>
      <c r="C86" s="143"/>
      <c r="D86" s="133"/>
      <c r="E86" s="76"/>
      <c r="F86" s="48"/>
      <c r="G86" s="64"/>
      <c r="H86" s="64"/>
      <c r="I86" s="64"/>
    </row>
    <row r="87" spans="1:9">
      <c r="A87" s="7">
        <v>25</v>
      </c>
      <c r="B87" s="447"/>
      <c r="C87" s="340"/>
      <c r="D87" s="340"/>
      <c r="E87" s="340"/>
      <c r="F87" s="340"/>
      <c r="G87" s="64"/>
      <c r="H87" s="64"/>
      <c r="I87" s="64"/>
    </row>
    <row r="88" spans="1:9">
      <c r="A88" s="7">
        <v>26</v>
      </c>
      <c r="B88" s="340"/>
      <c r="C88" s="340"/>
      <c r="D88" s="340"/>
      <c r="E88" s="340"/>
      <c r="F88" s="340"/>
      <c r="G88" s="339"/>
      <c r="H88" s="81"/>
      <c r="I88" s="64"/>
    </row>
    <row r="89" spans="1:9">
      <c r="A89" s="7">
        <v>27</v>
      </c>
      <c r="B89" s="150"/>
      <c r="C89" s="150"/>
      <c r="D89" s="150"/>
      <c r="E89" s="150"/>
      <c r="F89" s="150"/>
      <c r="G89" s="64"/>
      <c r="H89" s="64"/>
      <c r="I89" s="64"/>
    </row>
    <row r="90" spans="1:9">
      <c r="A90" s="7">
        <v>28</v>
      </c>
      <c r="B90" s="150"/>
      <c r="C90" s="150"/>
      <c r="D90" s="150"/>
      <c r="E90" s="150"/>
      <c r="F90" s="150"/>
      <c r="G90" s="64"/>
      <c r="H90" s="64"/>
      <c r="I90" s="144"/>
    </row>
    <row r="91" spans="1:9">
      <c r="A91" s="7">
        <v>29</v>
      </c>
      <c r="B91" s="340"/>
      <c r="C91" s="340"/>
      <c r="D91" s="340"/>
      <c r="E91" s="340"/>
      <c r="F91" s="340"/>
      <c r="G91" s="64"/>
      <c r="H91" s="64"/>
      <c r="I91" s="144"/>
    </row>
    <row r="92" spans="1:9">
      <c r="A92" s="7">
        <v>30</v>
      </c>
      <c r="B92" s="340"/>
      <c r="C92" s="340"/>
      <c r="D92" s="340"/>
      <c r="E92" s="340"/>
      <c r="F92" s="340"/>
      <c r="G92" s="64"/>
      <c r="H92" s="64"/>
      <c r="I92" s="144"/>
    </row>
    <row r="93" spans="1:9">
      <c r="A93" s="7">
        <v>31</v>
      </c>
      <c r="B93" s="43"/>
      <c r="C93" s="458"/>
      <c r="D93" s="88"/>
      <c r="E93" s="64"/>
      <c r="F93" s="64"/>
      <c r="G93" s="64"/>
      <c r="H93" s="64"/>
      <c r="I93" s="144"/>
    </row>
    <row r="96" spans="1:9">
      <c r="A96" s="174" t="s">
        <v>115</v>
      </c>
      <c r="B96" s="174"/>
      <c r="F96" s="176"/>
    </row>
    <row r="97" spans="1:7">
      <c r="F97" s="175"/>
    </row>
    <row r="98" spans="1:7" ht="15.75">
      <c r="A98" s="177"/>
      <c r="B98" s="178">
        <v>2019</v>
      </c>
      <c r="C98" s="179">
        <v>2022</v>
      </c>
      <c r="D98" s="180">
        <v>2023</v>
      </c>
      <c r="E98" s="845">
        <v>2024</v>
      </c>
      <c r="F98" s="846">
        <v>2025</v>
      </c>
      <c r="G98" s="855">
        <v>2026</v>
      </c>
    </row>
    <row r="99" spans="1:7">
      <c r="A99" t="s">
        <v>118</v>
      </c>
      <c r="B99" s="182">
        <v>2446.17</v>
      </c>
      <c r="C99" s="183">
        <v>90.91</v>
      </c>
      <c r="D99" s="184">
        <v>2049.59</v>
      </c>
      <c r="E99" s="277">
        <v>2145.4499999999998</v>
      </c>
      <c r="F99" s="277">
        <v>3207.85</v>
      </c>
      <c r="G99" s="1190">
        <v>1719.01</v>
      </c>
    </row>
    <row r="100" spans="1:7">
      <c r="A100" t="s">
        <v>119</v>
      </c>
      <c r="B100" s="182">
        <v>0</v>
      </c>
      <c r="C100" s="183">
        <v>0</v>
      </c>
      <c r="D100" s="184">
        <v>70.25</v>
      </c>
      <c r="E100" s="277">
        <v>4325.32</v>
      </c>
      <c r="F100" s="277">
        <v>2334.71</v>
      </c>
      <c r="G100" s="1190">
        <v>247.93</v>
      </c>
    </row>
    <row r="101" spans="1:7">
      <c r="A101" t="s">
        <v>121</v>
      </c>
      <c r="B101" s="182">
        <v>19265.73</v>
      </c>
      <c r="C101" s="183">
        <v>0</v>
      </c>
      <c r="D101" s="184">
        <v>8114.27</v>
      </c>
      <c r="E101" s="277">
        <v>10550.64</v>
      </c>
      <c r="F101" s="277">
        <v>4027.88</v>
      </c>
      <c r="G101" s="1190">
        <v>0</v>
      </c>
    </row>
    <row r="102" spans="1:7">
      <c r="A102" t="s">
        <v>123</v>
      </c>
      <c r="B102" s="182">
        <v>4076.36</v>
      </c>
      <c r="C102" s="183">
        <v>854.55</v>
      </c>
      <c r="D102" s="184">
        <v>1914.55</v>
      </c>
      <c r="E102" s="277">
        <v>9380.64</v>
      </c>
      <c r="F102" s="277">
        <v>1575.45</v>
      </c>
      <c r="G102" s="1190">
        <v>0</v>
      </c>
    </row>
    <row r="103" spans="1:7">
      <c r="A103" t="s">
        <v>125</v>
      </c>
      <c r="B103" s="182">
        <v>1771.59</v>
      </c>
      <c r="C103" s="183">
        <v>1353.64</v>
      </c>
      <c r="D103" s="184">
        <v>3050.2</v>
      </c>
      <c r="E103" s="277">
        <v>3381.82</v>
      </c>
      <c r="F103" s="277">
        <v>5945.64</v>
      </c>
      <c r="G103" s="1190">
        <v>7110.82</v>
      </c>
    </row>
    <row r="104" spans="1:7">
      <c r="A104" t="s">
        <v>127</v>
      </c>
      <c r="B104" s="182">
        <v>5622.53</v>
      </c>
      <c r="C104" s="183">
        <v>9.5500000000000007</v>
      </c>
      <c r="D104" s="184">
        <v>668.18</v>
      </c>
      <c r="E104" s="277">
        <v>1570</v>
      </c>
      <c r="F104" s="277">
        <v>2150.91</v>
      </c>
      <c r="G104" s="1190">
        <v>2518.1799999999998</v>
      </c>
    </row>
    <row r="105" spans="1:7">
      <c r="A105" t="s">
        <v>129</v>
      </c>
      <c r="B105" s="182">
        <v>4817.22</v>
      </c>
      <c r="C105" s="183">
        <v>1163.99</v>
      </c>
      <c r="D105" s="184">
        <v>1371.34</v>
      </c>
      <c r="E105" s="277">
        <v>1643.18</v>
      </c>
      <c r="F105" s="277">
        <v>471.63</v>
      </c>
      <c r="G105" s="1190">
        <v>18.41</v>
      </c>
    </row>
    <row r="106" spans="1:7">
      <c r="A106" t="s">
        <v>131</v>
      </c>
      <c r="B106" s="182">
        <v>22079.38</v>
      </c>
      <c r="C106" s="183">
        <v>11665.19</v>
      </c>
      <c r="D106" s="184">
        <v>20385.759999999998</v>
      </c>
      <c r="E106" s="277">
        <v>32475.88</v>
      </c>
      <c r="F106" s="277">
        <v>22198.76</v>
      </c>
      <c r="G106" s="1190">
        <v>17486.46</v>
      </c>
    </row>
    <row r="107" spans="1:7">
      <c r="A107" t="s">
        <v>133</v>
      </c>
      <c r="B107" s="182">
        <v>1561.14</v>
      </c>
      <c r="C107" s="183">
        <v>950</v>
      </c>
      <c r="D107" s="184">
        <v>1465.91</v>
      </c>
      <c r="E107" s="277">
        <v>1693.64</v>
      </c>
      <c r="F107" s="277">
        <v>1330.91</v>
      </c>
      <c r="G107" s="1190">
        <v>0</v>
      </c>
    </row>
    <row r="108" spans="1:7">
      <c r="A108" t="s">
        <v>8</v>
      </c>
      <c r="B108" s="182">
        <v>1889.27</v>
      </c>
      <c r="C108" s="183">
        <v>1031.82</v>
      </c>
      <c r="D108" s="184">
        <v>947.95</v>
      </c>
      <c r="E108" s="277">
        <v>2834.09</v>
      </c>
      <c r="F108" s="277">
        <v>4249.4799999999996</v>
      </c>
      <c r="G108" s="1190">
        <v>0</v>
      </c>
    </row>
    <row r="109" spans="1:7">
      <c r="A109" s="177"/>
      <c r="C109" s="200"/>
      <c r="D109" s="850"/>
      <c r="E109" s="851"/>
      <c r="F109" s="851"/>
      <c r="G109" s="215"/>
    </row>
    <row r="110" spans="1:7">
      <c r="A110" s="209" t="s">
        <v>137</v>
      </c>
      <c r="B110" s="852">
        <v>63529.39</v>
      </c>
      <c r="C110" s="853">
        <f>SUM(C99:C108)</f>
        <v>17119.650000000001</v>
      </c>
      <c r="D110" s="848">
        <f>SUM(D99:D108)</f>
        <v>40038</v>
      </c>
      <c r="E110" s="279">
        <f>SUM(E99:E108)</f>
        <v>70000.659999999989</v>
      </c>
      <c r="F110" s="849">
        <f>SUM(F99:F108)</f>
        <v>47493.22</v>
      </c>
      <c r="G110" s="1191">
        <f>G99+G100+G101+G102+G103+G104+G105+G106+G107+G108</f>
        <v>29100.809999999998</v>
      </c>
    </row>
    <row r="111" spans="1:7" ht="15.75" thickTop="1">
      <c r="D111" s="206"/>
    </row>
    <row r="112" spans="1:7" ht="15.75">
      <c r="C112" s="241" t="s">
        <v>134</v>
      </c>
      <c r="D112" s="207">
        <f>F110-B110</f>
        <v>-16036.169999999998</v>
      </c>
    </row>
    <row r="113" spans="1:11" ht="15.75">
      <c r="C113" s="239" t="s">
        <v>138</v>
      </c>
      <c r="D113" s="379">
        <f>F110-C110</f>
        <v>30373.57</v>
      </c>
    </row>
    <row r="114" spans="1:11" ht="15.75">
      <c r="C114" s="240" t="s">
        <v>139</v>
      </c>
      <c r="D114" s="385">
        <f>F110-D110</f>
        <v>7455.2200000000012</v>
      </c>
    </row>
    <row r="115" spans="1:11" ht="15.75">
      <c r="C115" s="213" t="s">
        <v>140</v>
      </c>
      <c r="D115" s="463">
        <f>F110-E110</f>
        <v>-22507.439999999988</v>
      </c>
    </row>
    <row r="116" spans="1:11">
      <c r="C116" s="844" t="s">
        <v>490</v>
      </c>
      <c r="D116" s="854">
        <f>G110-F110</f>
        <v>-18392.410000000003</v>
      </c>
    </row>
    <row r="120" spans="1:11" ht="15.75" thickBot="1">
      <c r="A120" s="223"/>
      <c r="B120" s="223"/>
      <c r="C120" s="223"/>
      <c r="D120" s="223"/>
      <c r="E120" s="223"/>
      <c r="F120" s="223"/>
      <c r="G120" s="256"/>
    </row>
    <row r="121" spans="1:11" ht="15.75" thickTop="1">
      <c r="F121" s="224"/>
      <c r="G121" s="1034"/>
    </row>
    <row r="122" spans="1:11">
      <c r="G122" s="1034"/>
      <c r="H122" s="176"/>
      <c r="I122" s="175"/>
    </row>
    <row r="123" spans="1:11">
      <c r="A123" s="174" t="s">
        <v>141</v>
      </c>
      <c r="B123" s="174"/>
      <c r="G123" s="1034"/>
      <c r="H123" s="175"/>
      <c r="I123" s="176"/>
    </row>
    <row r="124" spans="1:11">
      <c r="G124" s="1034"/>
    </row>
    <row r="125" spans="1:11" ht="15.75">
      <c r="A125" s="177"/>
      <c r="B125" s="178">
        <v>2019</v>
      </c>
      <c r="C125" s="179">
        <v>2022</v>
      </c>
      <c r="D125" s="180">
        <v>2023</v>
      </c>
      <c r="E125" s="845">
        <v>2024</v>
      </c>
      <c r="F125" s="856">
        <v>2025</v>
      </c>
      <c r="G125" s="1035">
        <v>2026</v>
      </c>
      <c r="H125" s="186"/>
      <c r="I125" s="187"/>
    </row>
    <row r="126" spans="1:11">
      <c r="A126" t="s">
        <v>118</v>
      </c>
      <c r="B126" s="182">
        <v>4438.0200000000004</v>
      </c>
      <c r="C126" s="183">
        <v>764.46</v>
      </c>
      <c r="D126" s="184">
        <v>4534.71</v>
      </c>
      <c r="E126" s="277">
        <v>6075.62</v>
      </c>
      <c r="F126" s="277">
        <v>5207.8500000000004</v>
      </c>
      <c r="G126" s="1190">
        <v>1698.35</v>
      </c>
      <c r="H126" s="189"/>
      <c r="I126" s="190"/>
      <c r="J126" s="188"/>
      <c r="K126" s="188"/>
    </row>
    <row r="127" spans="1:11">
      <c r="A127" t="s">
        <v>119</v>
      </c>
      <c r="B127" s="182">
        <v>0</v>
      </c>
      <c r="C127" s="183">
        <v>0</v>
      </c>
      <c r="D127" s="184">
        <v>409.09</v>
      </c>
      <c r="E127" s="277">
        <v>330.58</v>
      </c>
      <c r="F127" s="277">
        <v>694.21</v>
      </c>
      <c r="G127" s="1190">
        <v>0</v>
      </c>
      <c r="H127" s="191"/>
      <c r="I127" s="192"/>
      <c r="K127" s="188"/>
    </row>
    <row r="128" spans="1:11">
      <c r="A128" t="s">
        <v>121</v>
      </c>
      <c r="B128" s="182">
        <v>18353.64</v>
      </c>
      <c r="C128" s="183">
        <v>0</v>
      </c>
      <c r="D128" s="184">
        <v>10614.79</v>
      </c>
      <c r="E128" s="277">
        <v>13223.43</v>
      </c>
      <c r="F128" s="277">
        <v>270.73</v>
      </c>
      <c r="G128" s="1190">
        <v>0</v>
      </c>
      <c r="H128" s="186"/>
      <c r="I128" s="187"/>
    </row>
    <row r="129" spans="1:11">
      <c r="A129" t="s">
        <v>123</v>
      </c>
      <c r="B129" s="182">
        <v>0</v>
      </c>
      <c r="C129" s="183">
        <v>480</v>
      </c>
      <c r="D129" s="184">
        <v>4342.7299999999996</v>
      </c>
      <c r="E129" s="277">
        <v>8880.91</v>
      </c>
      <c r="F129" s="277">
        <v>2350.8200000000002</v>
      </c>
      <c r="G129" s="1190">
        <v>2227.27</v>
      </c>
      <c r="H129" s="194"/>
      <c r="I129" s="195"/>
      <c r="K129" s="193"/>
    </row>
    <row r="130" spans="1:11">
      <c r="A130" t="s">
        <v>125</v>
      </c>
      <c r="B130" s="182">
        <v>8560.91</v>
      </c>
      <c r="C130" s="183">
        <v>5102.8</v>
      </c>
      <c r="D130" s="184">
        <v>952.25</v>
      </c>
      <c r="E130" s="277">
        <v>1831.82</v>
      </c>
      <c r="F130" s="277">
        <v>8754.9599999999991</v>
      </c>
      <c r="G130" s="1190">
        <v>0</v>
      </c>
      <c r="H130" s="196"/>
      <c r="I130" s="197"/>
    </row>
    <row r="131" spans="1:11">
      <c r="A131" t="s">
        <v>127</v>
      </c>
      <c r="B131" s="182">
        <v>1546.36</v>
      </c>
      <c r="C131" s="183">
        <v>140.91</v>
      </c>
      <c r="D131" s="184">
        <v>412.5</v>
      </c>
      <c r="E131" s="277">
        <v>2142.73</v>
      </c>
      <c r="F131" s="277">
        <v>719.27</v>
      </c>
      <c r="G131" s="1190">
        <v>0</v>
      </c>
      <c r="H131" s="210"/>
      <c r="I131" s="258"/>
    </row>
    <row r="132" spans="1:11">
      <c r="A132" t="s">
        <v>129</v>
      </c>
      <c r="B132" s="182">
        <v>5378.93</v>
      </c>
      <c r="C132" s="183">
        <v>1857.59</v>
      </c>
      <c r="D132" s="184">
        <v>1532.1</v>
      </c>
      <c r="E132" s="277">
        <v>2541.31</v>
      </c>
      <c r="F132" s="277">
        <v>713.42</v>
      </c>
      <c r="G132" s="1190">
        <v>0</v>
      </c>
      <c r="J132" s="211"/>
      <c r="K132" s="199"/>
    </row>
    <row r="133" spans="1:11">
      <c r="A133" t="s">
        <v>131</v>
      </c>
      <c r="B133" s="182">
        <v>30412.04</v>
      </c>
      <c r="C133" s="183">
        <v>19818.47</v>
      </c>
      <c r="D133" s="184">
        <v>29132.94</v>
      </c>
      <c r="E133" s="277">
        <v>37914.67</v>
      </c>
      <c r="F133" s="277">
        <v>33138.9</v>
      </c>
      <c r="G133" s="1190">
        <v>5470.57</v>
      </c>
      <c r="J133" s="211"/>
      <c r="K133" s="199"/>
    </row>
    <row r="134" spans="1:11">
      <c r="A134" t="s">
        <v>133</v>
      </c>
      <c r="B134" s="182">
        <v>1770.45</v>
      </c>
      <c r="C134" s="183">
        <v>1117.27</v>
      </c>
      <c r="D134" s="184">
        <v>1511.36</v>
      </c>
      <c r="E134" s="277">
        <v>2041.5</v>
      </c>
      <c r="F134" s="277">
        <v>1789.09</v>
      </c>
      <c r="G134" s="1190">
        <v>0</v>
      </c>
      <c r="J134" s="211"/>
      <c r="K134" s="195"/>
    </row>
    <row r="135" spans="1:11">
      <c r="A135" t="s">
        <v>8</v>
      </c>
      <c r="B135" s="182">
        <v>2624.27</v>
      </c>
      <c r="C135" s="183">
        <v>1100.18</v>
      </c>
      <c r="D135" s="184">
        <v>1766.32</v>
      </c>
      <c r="E135" s="277">
        <v>1642.98</v>
      </c>
      <c r="F135" s="277">
        <v>5638.71</v>
      </c>
      <c r="G135" s="1190">
        <v>0</v>
      </c>
      <c r="J135" s="211"/>
      <c r="K135" s="195"/>
    </row>
    <row r="136" spans="1:11">
      <c r="A136" s="177"/>
      <c r="C136" s="183"/>
      <c r="D136" s="861"/>
      <c r="E136" s="851"/>
      <c r="F136" s="851"/>
      <c r="G136" s="215"/>
      <c r="J136" s="211"/>
      <c r="K136" s="195"/>
    </row>
    <row r="137" spans="1:11">
      <c r="A137" s="209" t="s">
        <v>137</v>
      </c>
      <c r="B137" s="208">
        <v>73084.62</v>
      </c>
      <c r="C137" s="857">
        <f>SUM(C126:C135)</f>
        <v>30381.680000000004</v>
      </c>
      <c r="D137" s="848">
        <f>SUM(D126:D135)</f>
        <v>55208.79</v>
      </c>
      <c r="E137" s="279">
        <f>SUM(E126:E135)</f>
        <v>76625.55</v>
      </c>
      <c r="F137" s="279">
        <f>SUM(F126:F135)</f>
        <v>59277.96</v>
      </c>
      <c r="G137" s="1192">
        <f>G126+G127+G128+G129+G130+G131+G132+G133+G134+G135</f>
        <v>9396.1899999999987</v>
      </c>
      <c r="J137" s="212"/>
      <c r="K137" s="195"/>
    </row>
    <row r="138" spans="1:11" ht="15.75" thickTop="1">
      <c r="D138" s="206"/>
    </row>
    <row r="139" spans="1:11">
      <c r="C139" s="238" t="s">
        <v>134</v>
      </c>
      <c r="D139" s="236">
        <f>F137-B137</f>
        <v>-13806.659999999996</v>
      </c>
    </row>
    <row r="140" spans="1:11">
      <c r="C140" s="239" t="s">
        <v>138</v>
      </c>
      <c r="D140" s="454">
        <f>F137-C137</f>
        <v>28896.279999999995</v>
      </c>
    </row>
    <row r="141" spans="1:11">
      <c r="C141" s="240" t="s">
        <v>139</v>
      </c>
      <c r="D141" s="453">
        <f>F137-D137</f>
        <v>4069.1699999999983</v>
      </c>
    </row>
    <row r="142" spans="1:11">
      <c r="C142" s="213" t="s">
        <v>140</v>
      </c>
      <c r="D142" s="462">
        <f>F137-E137</f>
        <v>-17347.590000000004</v>
      </c>
    </row>
    <row r="143" spans="1:11" ht="15.75">
      <c r="C143" s="844" t="s">
        <v>490</v>
      </c>
      <c r="D143" s="859">
        <f>G137-F137</f>
        <v>-49881.770000000004</v>
      </c>
    </row>
    <row r="146" spans="1:9" ht="15.75" thickBot="1">
      <c r="A146" s="256"/>
      <c r="B146" s="256"/>
      <c r="C146" s="256"/>
      <c r="D146" s="256"/>
      <c r="E146" s="256"/>
      <c r="F146" s="256"/>
      <c r="G146" s="256"/>
    </row>
    <row r="147" spans="1:9" ht="15.75" thickTop="1">
      <c r="G147" s="1034"/>
    </row>
    <row r="148" spans="1:9">
      <c r="A148" s="174" t="s">
        <v>143</v>
      </c>
      <c r="B148" s="174"/>
      <c r="G148" s="1034"/>
    </row>
    <row r="149" spans="1:9">
      <c r="G149" s="1034"/>
    </row>
    <row r="150" spans="1:9" ht="15.75">
      <c r="A150" s="177"/>
      <c r="B150" s="178">
        <v>2019</v>
      </c>
      <c r="C150" s="179">
        <v>2022</v>
      </c>
      <c r="D150" s="180">
        <v>2023</v>
      </c>
      <c r="E150" s="860">
        <v>2024</v>
      </c>
      <c r="F150" s="856">
        <v>2025</v>
      </c>
      <c r="G150" s="1035">
        <v>2026</v>
      </c>
    </row>
    <row r="151" spans="1:9">
      <c r="A151" t="s">
        <v>118</v>
      </c>
      <c r="B151" s="182">
        <v>5125.62</v>
      </c>
      <c r="C151" s="183">
        <v>3763.64</v>
      </c>
      <c r="D151" s="184">
        <v>2686.36</v>
      </c>
      <c r="E151" s="277">
        <v>3955.58</v>
      </c>
      <c r="F151" s="277">
        <v>2707.64</v>
      </c>
      <c r="G151" s="1190">
        <v>400.83</v>
      </c>
    </row>
    <row r="152" spans="1:9">
      <c r="A152" t="s">
        <v>119</v>
      </c>
      <c r="B152" s="182">
        <v>99.17</v>
      </c>
      <c r="C152" s="183">
        <v>181.82</v>
      </c>
      <c r="D152" s="184">
        <v>285.12</v>
      </c>
      <c r="E152" s="277">
        <v>570.25</v>
      </c>
      <c r="F152" s="277">
        <v>258.47000000000003</v>
      </c>
      <c r="G152" s="1190">
        <v>0</v>
      </c>
    </row>
    <row r="153" spans="1:9">
      <c r="A153" t="s">
        <v>121</v>
      </c>
      <c r="B153" s="182">
        <v>21437.279999999999</v>
      </c>
      <c r="C153" s="183">
        <v>11895.91</v>
      </c>
      <c r="D153" s="184">
        <v>11896.18</v>
      </c>
      <c r="E153" s="277">
        <v>18730.39</v>
      </c>
      <c r="F153" s="277">
        <v>727.73</v>
      </c>
      <c r="G153" s="1190">
        <v>0</v>
      </c>
    </row>
    <row r="154" spans="1:9">
      <c r="A154" t="s">
        <v>123</v>
      </c>
      <c r="B154" s="182">
        <v>3181.18</v>
      </c>
      <c r="C154" s="183">
        <v>354.55</v>
      </c>
      <c r="D154" s="184">
        <v>1399.82</v>
      </c>
      <c r="E154" s="277">
        <v>7100.68</v>
      </c>
      <c r="F154" s="277">
        <v>412.27</v>
      </c>
      <c r="G154" s="1190">
        <v>0</v>
      </c>
    </row>
    <row r="155" spans="1:9">
      <c r="A155" t="s">
        <v>125</v>
      </c>
      <c r="B155" s="182">
        <v>5964.78</v>
      </c>
      <c r="C155" s="183">
        <v>1160.4100000000001</v>
      </c>
      <c r="D155" s="184">
        <v>0</v>
      </c>
      <c r="E155" s="277">
        <v>694.55</v>
      </c>
      <c r="F155" s="277">
        <v>14115.82</v>
      </c>
      <c r="G155" s="1190">
        <v>4968</v>
      </c>
      <c r="I155" s="1038"/>
    </row>
    <row r="156" spans="1:9">
      <c r="A156" t="s">
        <v>127</v>
      </c>
      <c r="B156" s="182">
        <v>753.75</v>
      </c>
      <c r="C156" s="183">
        <v>0</v>
      </c>
      <c r="D156" s="184">
        <v>636.36</v>
      </c>
      <c r="E156" s="277">
        <v>977.95</v>
      </c>
      <c r="F156" s="277">
        <v>184.09</v>
      </c>
      <c r="G156" s="1190">
        <v>0</v>
      </c>
    </row>
    <row r="157" spans="1:9">
      <c r="A157" t="s">
        <v>129</v>
      </c>
      <c r="B157" s="182">
        <v>3551.03</v>
      </c>
      <c r="C157" s="183">
        <v>1667.2</v>
      </c>
      <c r="D157" s="184">
        <v>1579.3</v>
      </c>
      <c r="E157" s="277">
        <v>1478.92</v>
      </c>
      <c r="F157" s="277">
        <v>793.11</v>
      </c>
      <c r="G157" s="1190">
        <v>0</v>
      </c>
    </row>
    <row r="158" spans="1:9">
      <c r="A158" t="s">
        <v>131</v>
      </c>
      <c r="B158" s="182">
        <v>32361.91</v>
      </c>
      <c r="C158" s="183">
        <v>23782.55</v>
      </c>
      <c r="D158" s="184">
        <v>35392.239999999998</v>
      </c>
      <c r="E158" s="277">
        <v>30771.83</v>
      </c>
      <c r="F158" s="277">
        <v>33823.54</v>
      </c>
      <c r="G158" s="1190">
        <v>7575.05</v>
      </c>
    </row>
    <row r="159" spans="1:9">
      <c r="A159" t="s">
        <v>133</v>
      </c>
      <c r="B159" s="182">
        <v>1797.73</v>
      </c>
      <c r="C159" s="183">
        <v>1579.55</v>
      </c>
      <c r="D159" s="184">
        <v>1722.55</v>
      </c>
      <c r="E159" s="277">
        <v>1665.73</v>
      </c>
      <c r="F159" s="277">
        <v>1962.96</v>
      </c>
      <c r="G159" s="1190">
        <v>0</v>
      </c>
    </row>
    <row r="160" spans="1:9">
      <c r="A160" t="s">
        <v>8</v>
      </c>
      <c r="B160" s="182">
        <v>4292.91</v>
      </c>
      <c r="C160" s="183">
        <v>1254.55</v>
      </c>
      <c r="D160" s="184">
        <v>1157.06</v>
      </c>
      <c r="E160" s="277">
        <v>1809.71</v>
      </c>
      <c r="F160" s="277">
        <v>6133.04</v>
      </c>
      <c r="G160" s="1190">
        <v>0</v>
      </c>
    </row>
    <row r="161" spans="1:7">
      <c r="A161" s="177"/>
      <c r="C161" s="200"/>
      <c r="D161" s="850"/>
      <c r="E161" s="851"/>
      <c r="F161" s="851"/>
      <c r="G161" s="215"/>
    </row>
    <row r="162" spans="1:7">
      <c r="A162" s="209" t="s">
        <v>137</v>
      </c>
      <c r="B162" s="208">
        <v>78565.36</v>
      </c>
      <c r="C162" s="857">
        <f>SUM(C151:C160)</f>
        <v>45640.180000000008</v>
      </c>
      <c r="D162" s="848">
        <f>SUM(D151:D160)</f>
        <v>56754.99</v>
      </c>
      <c r="E162" s="279">
        <f>SUM(E151:E160)</f>
        <v>67755.590000000011</v>
      </c>
      <c r="F162" s="279">
        <f>SUM(F151:F160)</f>
        <v>61118.67</v>
      </c>
      <c r="G162" s="1192">
        <f>G151+G152+G153+G154+G155+G156+G157+G158+G159+G160</f>
        <v>12943.880000000001</v>
      </c>
    </row>
    <row r="163" spans="1:7" ht="15.75" thickTop="1">
      <c r="D163" s="206"/>
    </row>
    <row r="164" spans="1:7">
      <c r="C164" s="238" t="s">
        <v>134</v>
      </c>
      <c r="D164" s="236">
        <f>F162-B162</f>
        <v>-17446.690000000002</v>
      </c>
      <c r="E164" s="254"/>
    </row>
    <row r="165" spans="1:7">
      <c r="C165" s="239" t="s">
        <v>138</v>
      </c>
      <c r="D165" s="454">
        <f>F162-C162</f>
        <v>15478.489999999991</v>
      </c>
    </row>
    <row r="166" spans="1:7">
      <c r="C166" s="240" t="s">
        <v>139</v>
      </c>
      <c r="D166" s="255">
        <f>F162-D162</f>
        <v>4363.68</v>
      </c>
    </row>
    <row r="167" spans="1:7">
      <c r="C167" s="213" t="s">
        <v>140</v>
      </c>
      <c r="D167" s="462">
        <f>F162-E162</f>
        <v>-6636.9200000000128</v>
      </c>
    </row>
    <row r="168" spans="1:7" ht="15.75">
      <c r="C168" s="844" t="s">
        <v>490</v>
      </c>
      <c r="D168" s="859">
        <f>G162-F162</f>
        <v>-48174.789999999994</v>
      </c>
    </row>
    <row r="170" spans="1:7" ht="15.75" thickBot="1">
      <c r="A170" s="256"/>
      <c r="B170" s="256"/>
      <c r="C170" s="256"/>
      <c r="D170" s="256"/>
      <c r="E170" s="256"/>
      <c r="F170" s="256"/>
      <c r="G170" s="256"/>
    </row>
    <row r="171" spans="1:7" ht="15.75" thickTop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AF32B-3FCD-49AD-BC9F-AE66A253897A}">
  <dimension ref="A1:J170"/>
  <sheetViews>
    <sheetView workbookViewId="0">
      <selection activeCell="G52" sqref="G52"/>
    </sheetView>
  </sheetViews>
  <sheetFormatPr defaultColWidth="11.42578125" defaultRowHeight="15"/>
  <cols>
    <col min="2" max="2" width="20.7109375" customWidth="1"/>
    <col min="3" max="3" width="27.42578125" customWidth="1"/>
    <col min="4" max="4" width="28" customWidth="1"/>
    <col min="5" max="6" width="20.7109375" customWidth="1"/>
    <col min="7" max="7" width="31" customWidth="1"/>
    <col min="8" max="8" width="25.28515625" customWidth="1"/>
    <col min="9" max="9" width="20.7109375" customWidth="1"/>
  </cols>
  <sheetData>
    <row r="1" spans="1:10" ht="15.75">
      <c r="A1" s="1" t="s">
        <v>145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 spans="1:10">
      <c r="A2" s="6">
        <v>1</v>
      </c>
      <c r="B2" s="61"/>
      <c r="C2" s="64"/>
      <c r="D2" s="56"/>
      <c r="E2" s="64"/>
      <c r="F2" s="471"/>
      <c r="G2" s="335"/>
      <c r="H2" s="396"/>
      <c r="I2" s="46"/>
      <c r="J2" s="733"/>
    </row>
    <row r="3" spans="1:10">
      <c r="A3" s="12">
        <v>2</v>
      </c>
      <c r="B3" s="61"/>
      <c r="C3" s="64"/>
      <c r="D3" s="56"/>
      <c r="E3" s="64"/>
      <c r="F3" s="150"/>
      <c r="G3" s="352"/>
      <c r="H3" s="397"/>
      <c r="I3" s="55"/>
      <c r="J3" s="733"/>
    </row>
    <row r="4" spans="1:10">
      <c r="A4" s="16">
        <v>3</v>
      </c>
      <c r="B4" s="383"/>
      <c r="C4" s="64"/>
      <c r="D4" s="56"/>
      <c r="E4" s="64"/>
      <c r="F4" s="150"/>
      <c r="G4" s="150"/>
      <c r="H4" s="342"/>
      <c r="I4" s="61"/>
      <c r="J4" s="733"/>
    </row>
    <row r="5" spans="1:10" ht="15.75">
      <c r="A5" s="16">
        <v>4</v>
      </c>
      <c r="B5" s="61"/>
      <c r="C5" s="734"/>
      <c r="D5" s="56"/>
      <c r="E5" s="64"/>
      <c r="F5" s="56"/>
      <c r="G5" s="84"/>
      <c r="H5" s="735"/>
      <c r="I5" s="61"/>
      <c r="J5" s="733"/>
    </row>
    <row r="6" spans="1:10" ht="18.75">
      <c r="A6" s="16">
        <v>5</v>
      </c>
      <c r="B6" s="46"/>
      <c r="C6" s="64"/>
      <c r="D6" s="736"/>
      <c r="E6" s="568"/>
      <c r="F6" s="64"/>
      <c r="G6" s="64"/>
      <c r="H6" s="737"/>
      <c r="I6" s="61"/>
      <c r="J6" s="733"/>
    </row>
    <row r="7" spans="1:10" ht="15.75">
      <c r="A7" s="5">
        <v>6</v>
      </c>
      <c r="B7" s="505"/>
      <c r="C7" s="163"/>
      <c r="D7" s="568"/>
      <c r="E7" s="568"/>
      <c r="F7" s="163"/>
      <c r="G7" s="44"/>
      <c r="H7" s="45"/>
      <c r="I7" s="46"/>
      <c r="J7" s="733"/>
    </row>
    <row r="8" spans="1:10" ht="15.75">
      <c r="A8" s="12">
        <v>7</v>
      </c>
      <c r="B8" s="343"/>
      <c r="C8" s="150"/>
      <c r="D8" s="339"/>
      <c r="E8" s="163"/>
      <c r="F8" s="151"/>
      <c r="G8" s="439"/>
      <c r="H8" s="738"/>
      <c r="I8" s="55"/>
      <c r="J8" s="733"/>
    </row>
    <row r="9" spans="1:10" ht="15.75">
      <c r="A9" s="5">
        <v>8</v>
      </c>
      <c r="B9" s="509"/>
      <c r="C9" s="509"/>
      <c r="D9" s="725"/>
      <c r="E9" s="739"/>
      <c r="F9" s="508"/>
      <c r="G9" s="740"/>
      <c r="H9" s="741"/>
      <c r="I9" s="509"/>
      <c r="J9" s="733"/>
    </row>
    <row r="10" spans="1:10" ht="15.75">
      <c r="A10" s="12">
        <v>9</v>
      </c>
      <c r="B10" s="383"/>
      <c r="C10" s="48"/>
      <c r="D10" s="742"/>
      <c r="E10" s="743"/>
      <c r="F10" s="744"/>
      <c r="G10" s="745"/>
      <c r="H10" s="496"/>
      <c r="I10" s="501"/>
      <c r="J10" s="733"/>
    </row>
    <row r="11" spans="1:10">
      <c r="A11" s="5">
        <v>10</v>
      </c>
      <c r="B11" s="344"/>
      <c r="C11" s="45"/>
      <c r="D11" s="465"/>
      <c r="E11" s="466"/>
      <c r="F11" s="486"/>
      <c r="G11" s="335"/>
      <c r="H11" s="335"/>
      <c r="I11" s="46"/>
      <c r="J11" s="733"/>
    </row>
    <row r="12" spans="1:10">
      <c r="A12" s="12">
        <v>11</v>
      </c>
      <c r="B12" s="55"/>
      <c r="C12" s="48"/>
      <c r="D12" s="746"/>
      <c r="E12" s="150"/>
      <c r="F12" s="150"/>
      <c r="G12" s="748"/>
      <c r="H12" s="749"/>
      <c r="I12" s="55"/>
      <c r="J12" s="733"/>
    </row>
    <row r="13" spans="1:10">
      <c r="A13" s="5">
        <v>12</v>
      </c>
      <c r="B13" s="41"/>
      <c r="C13" s="42"/>
      <c r="D13" s="150"/>
      <c r="E13" s="335"/>
      <c r="F13" s="150"/>
      <c r="G13" s="750"/>
      <c r="H13" s="474"/>
      <c r="I13" s="46"/>
      <c r="J13" s="733"/>
    </row>
    <row r="14" spans="1:10" ht="15.75">
      <c r="A14" s="12">
        <v>13</v>
      </c>
      <c r="B14" s="47"/>
      <c r="C14" s="48"/>
      <c r="D14" s="43"/>
      <c r="E14" s="49"/>
      <c r="F14" s="50"/>
      <c r="G14" s="48"/>
      <c r="H14" s="51"/>
      <c r="I14" s="48"/>
      <c r="J14" s="733"/>
    </row>
    <row r="15" spans="1:10">
      <c r="A15" s="5">
        <v>14</v>
      </c>
      <c r="B15" s="52"/>
      <c r="C15" s="43"/>
      <c r="D15" s="43"/>
      <c r="E15" s="44"/>
      <c r="F15" s="53"/>
      <c r="G15" s="44"/>
      <c r="H15" s="54"/>
      <c r="I15" s="44"/>
      <c r="J15" s="733"/>
    </row>
    <row r="16" spans="1:10" ht="15.75">
      <c r="A16" s="12">
        <v>15</v>
      </c>
      <c r="B16" s="55"/>
      <c r="C16" s="56"/>
      <c r="D16" s="56"/>
      <c r="E16" s="57"/>
      <c r="F16" s="58"/>
      <c r="G16" s="59"/>
      <c r="H16" s="60"/>
      <c r="I16" s="55"/>
      <c r="J16" s="733"/>
    </row>
    <row r="17" spans="1:10">
      <c r="A17" s="16">
        <v>16</v>
      </c>
      <c r="B17" s="814" t="s">
        <v>491</v>
      </c>
      <c r="C17" s="814" t="s">
        <v>491</v>
      </c>
      <c r="D17" s="814" t="s">
        <v>491</v>
      </c>
      <c r="E17" s="814" t="s">
        <v>491</v>
      </c>
      <c r="F17" s="814" t="s">
        <v>491</v>
      </c>
      <c r="G17" s="64"/>
      <c r="H17" s="60"/>
      <c r="I17" s="61"/>
      <c r="J17" s="733"/>
    </row>
    <row r="18" spans="1:10">
      <c r="A18" s="16">
        <v>17</v>
      </c>
      <c r="B18" s="814" t="s">
        <v>491</v>
      </c>
      <c r="C18" s="814" t="s">
        <v>491</v>
      </c>
      <c r="D18" s="814" t="s">
        <v>491</v>
      </c>
      <c r="E18" s="814" t="s">
        <v>491</v>
      </c>
      <c r="F18" s="814" t="s">
        <v>491</v>
      </c>
      <c r="G18" s="68"/>
      <c r="H18" s="751"/>
      <c r="I18" s="68"/>
      <c r="J18" s="733"/>
    </row>
    <row r="19" spans="1:10">
      <c r="A19" s="16">
        <v>18</v>
      </c>
      <c r="B19" s="814" t="s">
        <v>491</v>
      </c>
      <c r="C19" s="814" t="s">
        <v>491</v>
      </c>
      <c r="D19" s="814" t="s">
        <v>491</v>
      </c>
      <c r="E19" s="814" t="s">
        <v>491</v>
      </c>
      <c r="F19" s="814" t="s">
        <v>491</v>
      </c>
      <c r="G19" s="67"/>
      <c r="H19" s="751"/>
      <c r="I19" s="67"/>
      <c r="J19" s="733"/>
    </row>
    <row r="20" spans="1:10">
      <c r="A20" s="16">
        <v>19</v>
      </c>
      <c r="B20" s="814" t="s">
        <v>491</v>
      </c>
      <c r="C20" s="814" t="s">
        <v>491</v>
      </c>
      <c r="D20" s="814" t="s">
        <v>491</v>
      </c>
      <c r="E20" s="814" t="s">
        <v>491</v>
      </c>
      <c r="F20" s="814" t="s">
        <v>491</v>
      </c>
      <c r="G20" s="67"/>
      <c r="H20" s="751"/>
      <c r="I20" s="67"/>
      <c r="J20" s="733"/>
    </row>
    <row r="21" spans="1:10">
      <c r="A21" s="5">
        <v>20</v>
      </c>
      <c r="B21" s="814" t="s">
        <v>491</v>
      </c>
      <c r="C21" s="814" t="s">
        <v>491</v>
      </c>
      <c r="D21" s="814" t="s">
        <v>491</v>
      </c>
      <c r="E21" s="814" t="s">
        <v>491</v>
      </c>
      <c r="F21" s="814" t="s">
        <v>491</v>
      </c>
      <c r="G21" s="74"/>
      <c r="H21" s="752"/>
      <c r="I21" s="61"/>
      <c r="J21" s="733"/>
    </row>
    <row r="22" spans="1:10">
      <c r="A22" s="12">
        <v>21</v>
      </c>
      <c r="B22" s="814" t="s">
        <v>491</v>
      </c>
      <c r="C22" s="814" t="s">
        <v>491</v>
      </c>
      <c r="D22" s="814" t="s">
        <v>491</v>
      </c>
      <c r="E22" s="814" t="s">
        <v>491</v>
      </c>
      <c r="F22" s="814" t="s">
        <v>491</v>
      </c>
      <c r="G22" s="74"/>
      <c r="H22" s="77"/>
      <c r="I22" s="61"/>
      <c r="J22" s="733"/>
    </row>
    <row r="23" spans="1:10">
      <c r="A23" s="16">
        <v>22</v>
      </c>
      <c r="B23" s="509"/>
      <c r="C23" s="535"/>
      <c r="D23" s="339"/>
      <c r="E23" s="339"/>
      <c r="F23" s="150"/>
      <c r="G23" s="64"/>
      <c r="H23" s="1144" t="s">
        <v>492</v>
      </c>
      <c r="I23" s="753"/>
      <c r="J23" s="733"/>
    </row>
    <row r="24" spans="1:10">
      <c r="A24" s="16">
        <v>23</v>
      </c>
      <c r="B24" s="61"/>
      <c r="C24" s="64"/>
      <c r="D24" s="150"/>
      <c r="E24" s="150"/>
      <c r="F24" s="150"/>
      <c r="G24" s="64"/>
      <c r="H24" s="1144" t="s">
        <v>492</v>
      </c>
      <c r="I24" s="753"/>
      <c r="J24" s="733"/>
    </row>
    <row r="25" spans="1:10">
      <c r="A25" s="16">
        <v>24</v>
      </c>
      <c r="B25" s="80"/>
      <c r="C25" s="43"/>
      <c r="D25" s="339"/>
      <c r="E25" s="732"/>
      <c r="F25" s="43"/>
      <c r="G25" s="81"/>
      <c r="H25" s="1145" t="s">
        <v>492</v>
      </c>
      <c r="I25" s="753"/>
      <c r="J25" s="733"/>
    </row>
    <row r="26" spans="1:10">
      <c r="A26" s="16">
        <v>25</v>
      </c>
      <c r="B26" s="1073" t="s">
        <v>493</v>
      </c>
      <c r="C26" s="1073" t="s">
        <v>493</v>
      </c>
      <c r="D26" s="1073" t="s">
        <v>493</v>
      </c>
      <c r="E26" s="1072"/>
      <c r="F26" s="1074"/>
      <c r="G26" s="349"/>
      <c r="H26" s="1146" t="s">
        <v>492</v>
      </c>
      <c r="I26" s="753"/>
      <c r="J26" s="733"/>
    </row>
    <row r="27" spans="1:10">
      <c r="A27" s="16">
        <v>26</v>
      </c>
      <c r="B27" s="1073" t="s">
        <v>493</v>
      </c>
      <c r="C27" s="1073" t="s">
        <v>493</v>
      </c>
      <c r="D27" s="1073" t="s">
        <v>493</v>
      </c>
      <c r="E27" s="1072"/>
      <c r="F27" s="1074"/>
      <c r="G27" s="350"/>
      <c r="H27" s="1146" t="s">
        <v>492</v>
      </c>
      <c r="I27" s="753"/>
      <c r="J27" s="733"/>
    </row>
    <row r="28" spans="1:10">
      <c r="A28" s="16">
        <v>27</v>
      </c>
      <c r="B28" s="502"/>
      <c r="C28" s="502"/>
      <c r="D28" s="502"/>
      <c r="E28" s="502"/>
      <c r="F28" s="502"/>
      <c r="G28" s="84"/>
      <c r="H28" s="86"/>
      <c r="I28" s="61"/>
      <c r="J28" s="733"/>
    </row>
    <row r="29" spans="1:10">
      <c r="A29" s="16">
        <v>28</v>
      </c>
      <c r="B29" s="498"/>
      <c r="C29" s="84"/>
      <c r="D29" s="84"/>
      <c r="E29" s="84"/>
      <c r="F29" s="44"/>
      <c r="G29" s="64"/>
      <c r="H29" s="87"/>
      <c r="I29" s="61"/>
      <c r="J29" s="733"/>
    </row>
    <row r="30" spans="1:10">
      <c r="A30" s="16">
        <v>29</v>
      </c>
      <c r="B30" s="498"/>
      <c r="C30" s="64"/>
      <c r="D30" s="339"/>
      <c r="E30" s="510"/>
      <c r="F30" s="325"/>
      <c r="G30" s="64"/>
      <c r="H30" s="429"/>
      <c r="I30" s="80"/>
      <c r="J30" s="733"/>
    </row>
    <row r="31" spans="1:10">
      <c r="A31" s="16">
        <v>30</v>
      </c>
      <c r="B31" s="498"/>
      <c r="C31" s="90"/>
      <c r="D31" s="530"/>
      <c r="E31" s="90"/>
      <c r="F31" s="325"/>
      <c r="G31" s="90"/>
      <c r="H31" s="60"/>
      <c r="I31" s="61"/>
      <c r="J31" s="733"/>
    </row>
    <row r="32" spans="1:10" ht="15.75">
      <c r="A32" s="580" t="s">
        <v>174</v>
      </c>
      <c r="B32" s="37" t="s">
        <v>1</v>
      </c>
      <c r="C32" s="37" t="s">
        <v>2</v>
      </c>
      <c r="D32" s="38" t="s">
        <v>3</v>
      </c>
      <c r="E32" s="38" t="s">
        <v>4</v>
      </c>
      <c r="F32" s="37" t="s">
        <v>5</v>
      </c>
      <c r="G32" s="37" t="s">
        <v>6</v>
      </c>
      <c r="H32" s="3" t="s">
        <v>7</v>
      </c>
      <c r="I32" s="39" t="s">
        <v>8</v>
      </c>
    </row>
    <row r="33" spans="1:9" ht="15.75">
      <c r="A33" s="7">
        <v>1</v>
      </c>
      <c r="B33" s="498"/>
      <c r="C33" s="92"/>
      <c r="D33" s="530"/>
      <c r="E33" s="94"/>
      <c r="F33" s="64"/>
      <c r="G33" s="64"/>
      <c r="H33" s="150"/>
      <c r="I33" s="43"/>
    </row>
    <row r="34" spans="1:9">
      <c r="A34" s="7">
        <v>2</v>
      </c>
      <c r="B34" s="498"/>
      <c r="C34" s="498"/>
      <c r="D34" s="498"/>
      <c r="E34" s="498"/>
      <c r="F34" s="498"/>
      <c r="G34" s="54"/>
      <c r="H34" s="74"/>
      <c r="I34" s="64"/>
    </row>
    <row r="35" spans="1:9">
      <c r="A35" s="7">
        <v>3</v>
      </c>
      <c r="B35" s="498"/>
      <c r="C35" s="498"/>
      <c r="D35" s="498"/>
      <c r="E35" s="498"/>
      <c r="F35" s="498"/>
      <c r="G35" s="74"/>
      <c r="H35" s="74"/>
      <c r="I35" s="64"/>
    </row>
    <row r="36" spans="1:9">
      <c r="A36" s="7">
        <v>4</v>
      </c>
      <c r="B36" s="498"/>
      <c r="C36" s="498"/>
      <c r="D36" s="498"/>
      <c r="E36" s="498"/>
      <c r="F36" s="498"/>
      <c r="G36" s="64"/>
      <c r="H36" s="64"/>
      <c r="I36" s="64"/>
    </row>
    <row r="37" spans="1:9" ht="15.75">
      <c r="A37" s="7">
        <v>5</v>
      </c>
      <c r="B37" s="64"/>
      <c r="C37" s="331"/>
      <c r="D37" s="88"/>
      <c r="E37" s="754"/>
      <c r="F37" s="755"/>
      <c r="G37" s="325"/>
      <c r="H37" s="518"/>
      <c r="I37" s="64"/>
    </row>
    <row r="38" spans="1:9">
      <c r="A38" s="7">
        <v>6</v>
      </c>
      <c r="B38" s="509"/>
      <c r="C38" s="331"/>
      <c r="D38" s="713"/>
      <c r="E38" s="756"/>
      <c r="F38" s="325"/>
      <c r="G38" s="342"/>
      <c r="H38" s="325"/>
      <c r="I38" s="43"/>
    </row>
    <row r="39" spans="1:9">
      <c r="A39" s="7">
        <v>7</v>
      </c>
      <c r="B39" s="491"/>
      <c r="C39" s="163"/>
      <c r="D39" s="458"/>
      <c r="E39" s="471"/>
      <c r="F39" s="491"/>
      <c r="G39" s="458"/>
      <c r="H39" s="64"/>
      <c r="I39" s="64"/>
    </row>
    <row r="40" spans="1:9" ht="15.75">
      <c r="A40" s="7">
        <v>8</v>
      </c>
      <c r="B40" s="757"/>
      <c r="C40" s="491"/>
      <c r="D40" s="458"/>
      <c r="E40" s="471"/>
      <c r="F40" s="165"/>
      <c r="G40" s="458"/>
      <c r="H40" s="44"/>
      <c r="I40" s="64"/>
    </row>
    <row r="41" spans="1:9" ht="15.75">
      <c r="A41" s="16">
        <v>9</v>
      </c>
      <c r="B41" s="758"/>
      <c r="C41" s="759"/>
      <c r="D41" s="1175" t="s">
        <v>494</v>
      </c>
      <c r="E41" s="1175" t="s">
        <v>494</v>
      </c>
      <c r="F41" s="1176" t="s">
        <v>494</v>
      </c>
      <c r="G41" s="1175" t="s">
        <v>495</v>
      </c>
      <c r="H41" s="760"/>
      <c r="I41" s="64"/>
    </row>
    <row r="42" spans="1:9">
      <c r="A42" s="7">
        <v>10</v>
      </c>
      <c r="B42" s="170"/>
      <c r="C42" s="170"/>
      <c r="D42" s="150"/>
      <c r="E42" s="558"/>
      <c r="F42" s="760"/>
      <c r="G42" s="150"/>
      <c r="H42" s="732"/>
      <c r="I42" s="64"/>
    </row>
    <row r="43" spans="1:9">
      <c r="A43" s="7">
        <v>11</v>
      </c>
      <c r="B43" s="170"/>
      <c r="C43" s="170"/>
      <c r="D43" s="342"/>
      <c r="E43" s="154"/>
      <c r="F43" s="67"/>
      <c r="G43" s="64"/>
      <c r="H43" s="64"/>
      <c r="I43" s="64"/>
    </row>
    <row r="44" spans="1:9" ht="15.75">
      <c r="A44" s="7">
        <v>12</v>
      </c>
      <c r="B44" s="163"/>
      <c r="C44" s="43"/>
      <c r="D44" s="163"/>
      <c r="E44" s="163"/>
      <c r="F44" s="104"/>
      <c r="G44" s="335"/>
      <c r="H44" s="761"/>
      <c r="I44" s="43"/>
    </row>
    <row r="45" spans="1:9" ht="16.5">
      <c r="A45" s="7">
        <v>13</v>
      </c>
      <c r="B45" s="163"/>
      <c r="C45" s="64"/>
      <c r="D45" s="163"/>
      <c r="E45" s="537"/>
      <c r="F45" s="538"/>
      <c r="G45" s="325"/>
      <c r="H45" s="762"/>
      <c r="I45" s="54"/>
    </row>
    <row r="46" spans="1:9" ht="16.5">
      <c r="A46" s="7">
        <v>14</v>
      </c>
      <c r="B46" s="163"/>
      <c r="C46" s="102"/>
      <c r="D46" s="690" t="s">
        <v>496</v>
      </c>
      <c r="E46" s="1108" t="s">
        <v>497</v>
      </c>
      <c r="F46" s="568"/>
      <c r="G46" s="102"/>
      <c r="H46" s="763"/>
      <c r="I46" s="64"/>
    </row>
    <row r="47" spans="1:9" ht="16.5">
      <c r="A47" s="7">
        <v>15</v>
      </c>
      <c r="B47" s="815" t="s">
        <v>498</v>
      </c>
      <c r="C47" s="815" t="s">
        <v>498</v>
      </c>
      <c r="D47" s="815" t="s">
        <v>498</v>
      </c>
      <c r="E47" s="815" t="s">
        <v>498</v>
      </c>
      <c r="F47" s="815" t="s">
        <v>498</v>
      </c>
      <c r="G47" s="569"/>
      <c r="H47" s="764"/>
      <c r="I47" s="43"/>
    </row>
    <row r="48" spans="1:9" ht="16.5">
      <c r="A48" s="16">
        <v>16</v>
      </c>
      <c r="B48" s="534" t="s">
        <v>498</v>
      </c>
      <c r="C48" s="534" t="s">
        <v>498</v>
      </c>
      <c r="D48" s="534" t="s">
        <v>498</v>
      </c>
      <c r="E48" s="534" t="s">
        <v>498</v>
      </c>
      <c r="F48" s="534" t="s">
        <v>498</v>
      </c>
      <c r="G48" s="450"/>
      <c r="H48" s="765"/>
      <c r="I48" s="64"/>
    </row>
    <row r="49" spans="1:9">
      <c r="A49" s="7">
        <v>17</v>
      </c>
      <c r="B49" s="164" t="s">
        <v>498</v>
      </c>
      <c r="C49" s="164" t="s">
        <v>498</v>
      </c>
      <c r="D49" s="164" t="s">
        <v>498</v>
      </c>
      <c r="E49" s="164" t="s">
        <v>498</v>
      </c>
      <c r="F49" s="164" t="s">
        <v>498</v>
      </c>
      <c r="G49" s="43"/>
      <c r="H49" s="766"/>
      <c r="I49" s="150"/>
    </row>
    <row r="50" spans="1:9">
      <c r="A50" s="16">
        <v>18</v>
      </c>
      <c r="B50" s="324"/>
      <c r="C50" s="163"/>
      <c r="D50" s="163"/>
      <c r="E50" s="163"/>
      <c r="F50" s="163"/>
      <c r="G50" s="109"/>
      <c r="H50" s="767"/>
      <c r="I50" s="108"/>
    </row>
    <row r="51" spans="1:9">
      <c r="A51" s="7">
        <v>19</v>
      </c>
      <c r="B51" s="331"/>
      <c r="C51" s="163"/>
      <c r="D51" s="163"/>
      <c r="E51" s="163"/>
      <c r="F51" s="768"/>
      <c r="G51" s="150"/>
      <c r="H51" s="1181"/>
      <c r="I51" s="64"/>
    </row>
    <row r="52" spans="1:9" ht="28.5" customHeight="1">
      <c r="A52" s="7">
        <v>20</v>
      </c>
      <c r="B52" s="509"/>
      <c r="C52" s="91"/>
      <c r="D52" s="170"/>
      <c r="E52" s="446"/>
      <c r="F52" s="343"/>
      <c r="G52" s="150"/>
      <c r="H52" s="170"/>
      <c r="I52" s="64"/>
    </row>
    <row r="53" spans="1:9">
      <c r="A53" s="7">
        <v>21</v>
      </c>
      <c r="B53" s="150"/>
      <c r="C53" s="471"/>
      <c r="D53" s="170"/>
      <c r="E53" s="170"/>
      <c r="F53" s="170"/>
      <c r="G53" s="150"/>
      <c r="H53" s="170"/>
      <c r="I53" s="61"/>
    </row>
    <row r="54" spans="1:9">
      <c r="A54" s="7">
        <v>22</v>
      </c>
      <c r="B54" s="1196"/>
      <c r="C54" s="1197"/>
      <c r="D54" s="627" t="s">
        <v>499</v>
      </c>
      <c r="E54" s="565"/>
      <c r="F54" s="436"/>
      <c r="G54" s="458"/>
      <c r="H54" s="1117" t="s">
        <v>500</v>
      </c>
      <c r="I54" s="91" t="s">
        <v>501</v>
      </c>
    </row>
    <row r="55" spans="1:9">
      <c r="A55" s="7">
        <v>23</v>
      </c>
      <c r="B55" s="1198"/>
      <c r="C55" s="1196"/>
      <c r="D55" s="1170" t="s">
        <v>499</v>
      </c>
      <c r="E55" s="565"/>
      <c r="F55" s="565"/>
      <c r="G55" s="170"/>
      <c r="H55" s="556" t="s">
        <v>500</v>
      </c>
      <c r="I55" s="91" t="s">
        <v>502</v>
      </c>
    </row>
    <row r="56" spans="1:9">
      <c r="A56" s="7">
        <v>24</v>
      </c>
      <c r="B56" s="1196"/>
      <c r="C56" s="1196"/>
      <c r="D56" s="484"/>
      <c r="E56" s="436"/>
      <c r="F56" s="436"/>
      <c r="G56" s="483"/>
      <c r="H56" s="471"/>
      <c r="I56" s="112"/>
    </row>
    <row r="57" spans="1:9" ht="15.75">
      <c r="A57" s="7">
        <v>25</v>
      </c>
      <c r="B57" s="150"/>
      <c r="C57" s="547"/>
      <c r="D57" s="333"/>
      <c r="E57" s="333"/>
      <c r="F57" s="150"/>
      <c r="G57" s="64"/>
      <c r="H57" s="471"/>
      <c r="I57" s="64"/>
    </row>
    <row r="58" spans="1:9">
      <c r="A58" s="11">
        <v>26</v>
      </c>
      <c r="B58" s="150"/>
      <c r="C58" s="150"/>
      <c r="D58" s="163"/>
      <c r="E58" s="163"/>
      <c r="F58" s="469"/>
      <c r="G58" s="337"/>
      <c r="H58" s="565"/>
      <c r="I58" s="64"/>
    </row>
    <row r="59" spans="1:9">
      <c r="A59" s="15">
        <v>27</v>
      </c>
      <c r="B59" s="150"/>
      <c r="C59" s="399"/>
      <c r="D59" s="163"/>
      <c r="E59" s="510"/>
      <c r="F59" s="325"/>
      <c r="G59" s="337"/>
      <c r="H59" s="337"/>
      <c r="I59" s="43"/>
    </row>
    <row r="60" spans="1:9" ht="15.75">
      <c r="A60" s="11">
        <v>28</v>
      </c>
      <c r="B60" s="335"/>
      <c r="C60" s="42"/>
      <c r="D60" s="769"/>
      <c r="E60" s="557"/>
      <c r="F60" s="508"/>
      <c r="G60" s="44"/>
      <c r="H60" s="44"/>
      <c r="I60" s="44"/>
    </row>
    <row r="61" spans="1:9">
      <c r="A61" s="12">
        <v>29</v>
      </c>
      <c r="B61" s="343"/>
      <c r="C61" s="324"/>
      <c r="D61" s="324"/>
      <c r="E61" s="324"/>
      <c r="F61" s="324"/>
      <c r="G61" s="516"/>
      <c r="H61" s="55"/>
      <c r="I61" s="55"/>
    </row>
    <row r="62" spans="1:9">
      <c r="A62" s="15">
        <v>30</v>
      </c>
      <c r="B62" s="150"/>
      <c r="C62" s="709"/>
      <c r="D62" s="163"/>
      <c r="E62" s="163"/>
      <c r="F62" s="163"/>
      <c r="G62" s="55"/>
      <c r="H62" s="516"/>
      <c r="I62" s="55"/>
    </row>
    <row r="63" spans="1:9">
      <c r="A63" s="15">
        <v>31</v>
      </c>
      <c r="B63" s="150"/>
      <c r="C63" s="163"/>
      <c r="D63" s="163"/>
      <c r="E63" s="471"/>
      <c r="F63" s="471"/>
      <c r="G63" s="770"/>
      <c r="H63" s="771"/>
      <c r="I63" s="93"/>
    </row>
    <row r="64" spans="1:9" ht="15.75">
      <c r="A64" s="148" t="s">
        <v>220</v>
      </c>
      <c r="B64" s="628" t="s">
        <v>1</v>
      </c>
      <c r="C64" s="628" t="s">
        <v>2</v>
      </c>
      <c r="D64" s="628" t="s">
        <v>3</v>
      </c>
      <c r="E64" s="628" t="s">
        <v>4</v>
      </c>
      <c r="F64" s="628" t="s">
        <v>5</v>
      </c>
      <c r="G64" s="628" t="s">
        <v>6</v>
      </c>
      <c r="H64" s="628" t="s">
        <v>7</v>
      </c>
      <c r="I64" s="629" t="s">
        <v>8</v>
      </c>
    </row>
    <row r="65" spans="1:9">
      <c r="A65" s="7">
        <v>1</v>
      </c>
      <c r="B65" s="150"/>
      <c r="C65" s="163"/>
      <c r="D65" s="163"/>
      <c r="E65" s="163"/>
      <c r="F65" s="163"/>
      <c r="G65" s="97"/>
      <c r="H65" s="64"/>
      <c r="I65" s="43"/>
    </row>
    <row r="66" spans="1:9" ht="15.75">
      <c r="A66" s="7">
        <v>2</v>
      </c>
      <c r="B66" s="150"/>
      <c r="C66" s="74"/>
      <c r="D66" s="101"/>
      <c r="E66" s="105"/>
      <c r="F66" s="470"/>
      <c r="G66" s="64"/>
      <c r="H66" s="74"/>
      <c r="I66" s="64"/>
    </row>
    <row r="67" spans="1:9">
      <c r="A67" s="7">
        <v>3</v>
      </c>
      <c r="B67" s="1105" t="s">
        <v>503</v>
      </c>
      <c r="C67" s="1105" t="s">
        <v>503</v>
      </c>
      <c r="D67" s="1105" t="s">
        <v>503</v>
      </c>
      <c r="E67" s="1166" t="s">
        <v>503</v>
      </c>
      <c r="F67" s="1105" t="s">
        <v>503</v>
      </c>
      <c r="G67" s="150"/>
      <c r="H67" s="44"/>
      <c r="I67" s="44"/>
    </row>
    <row r="68" spans="1:9">
      <c r="A68" s="7">
        <v>4</v>
      </c>
      <c r="B68" s="1105" t="s">
        <v>503</v>
      </c>
      <c r="C68" s="1105" t="s">
        <v>503</v>
      </c>
      <c r="D68" s="1105" t="s">
        <v>503</v>
      </c>
      <c r="E68" s="1106" t="s">
        <v>503</v>
      </c>
      <c r="F68" s="1094" t="s">
        <v>503</v>
      </c>
      <c r="G68" s="45"/>
      <c r="H68" s="587"/>
      <c r="I68" s="59"/>
    </row>
    <row r="69" spans="1:9">
      <c r="A69" s="7">
        <v>5</v>
      </c>
      <c r="B69" s="1105" t="s">
        <v>503</v>
      </c>
      <c r="C69" s="1105" t="s">
        <v>503</v>
      </c>
      <c r="D69" s="1105" t="s">
        <v>503</v>
      </c>
      <c r="E69" s="1106" t="s">
        <v>503</v>
      </c>
      <c r="F69" s="1094" t="s">
        <v>503</v>
      </c>
      <c r="G69" s="590"/>
      <c r="H69" s="588"/>
      <c r="I69" s="123"/>
    </row>
    <row r="70" spans="1:9">
      <c r="A70" s="7">
        <v>6</v>
      </c>
      <c r="B70" s="1105" t="s">
        <v>503</v>
      </c>
      <c r="C70" s="1105" t="s">
        <v>503</v>
      </c>
      <c r="D70" s="1105" t="s">
        <v>503</v>
      </c>
      <c r="E70" s="1106" t="s">
        <v>503</v>
      </c>
      <c r="F70" s="1094" t="s">
        <v>503</v>
      </c>
      <c r="G70" s="591"/>
      <c r="H70" s="772"/>
      <c r="I70" s="43"/>
    </row>
    <row r="71" spans="1:9">
      <c r="A71" s="7">
        <v>7</v>
      </c>
      <c r="B71" s="342"/>
      <c r="C71" s="773"/>
      <c r="D71" s="411"/>
      <c r="E71" s="354"/>
      <c r="F71" s="339"/>
      <c r="G71" s="483"/>
      <c r="H71" s="767"/>
      <c r="I71" s="64"/>
    </row>
    <row r="72" spans="1:9">
      <c r="A72" s="7">
        <v>8</v>
      </c>
      <c r="B72" s="150"/>
      <c r="C72" s="334"/>
      <c r="D72" s="334"/>
      <c r="E72" s="334"/>
      <c r="F72" s="334"/>
      <c r="G72" s="334"/>
      <c r="H72" s="334"/>
      <c r="I72" s="64"/>
    </row>
    <row r="73" spans="1:9">
      <c r="A73" s="7">
        <v>9</v>
      </c>
      <c r="B73" s="339"/>
      <c r="C73" s="471"/>
      <c r="D73" s="334"/>
      <c r="E73" s="334"/>
      <c r="F73" s="725"/>
      <c r="G73" s="334"/>
      <c r="H73" s="334"/>
      <c r="I73" s="64"/>
    </row>
    <row r="74" spans="1:9">
      <c r="A74" s="7">
        <v>10</v>
      </c>
      <c r="B74" s="128"/>
      <c r="C74" s="150"/>
      <c r="D74" s="163"/>
      <c r="E74" s="510"/>
      <c r="F74" s="501"/>
      <c r="G74" s="334"/>
      <c r="H74" s="355"/>
      <c r="I74" s="64"/>
    </row>
    <row r="75" spans="1:9">
      <c r="A75" s="7">
        <v>11</v>
      </c>
      <c r="B75" s="84"/>
      <c r="C75" s="43"/>
      <c r="D75" s="1104" t="s">
        <v>504</v>
      </c>
      <c r="E75" s="517" t="s">
        <v>505</v>
      </c>
      <c r="F75" s="150"/>
      <c r="G75" s="354"/>
      <c r="H75" s="564"/>
      <c r="I75" s="64"/>
    </row>
    <row r="76" spans="1:9">
      <c r="A76" s="7">
        <v>12</v>
      </c>
      <c r="B76" s="458"/>
      <c r="C76" s="458"/>
      <c r="D76" s="339"/>
      <c r="E76" s="339"/>
      <c r="F76" s="458"/>
      <c r="G76" s="520"/>
      <c r="H76" s="43"/>
      <c r="I76" s="43"/>
    </row>
    <row r="77" spans="1:9" ht="15.75">
      <c r="A77" s="7">
        <v>13</v>
      </c>
      <c r="B77" s="547"/>
      <c r="C77" s="547"/>
      <c r="D77" s="547"/>
      <c r="E77" s="709"/>
      <c r="F77" s="709"/>
      <c r="G77" s="492"/>
      <c r="H77" s="131"/>
      <c r="I77" s="43"/>
    </row>
    <row r="78" spans="1:9" ht="15.75">
      <c r="A78" s="7">
        <v>14</v>
      </c>
      <c r="B78" s="568"/>
      <c r="C78" s="621"/>
      <c r="D78" s="547"/>
      <c r="E78" s="547"/>
      <c r="F78" s="568"/>
      <c r="G78" s="520"/>
      <c r="H78" s="471"/>
      <c r="I78" s="339"/>
    </row>
    <row r="79" spans="1:9" ht="15.75">
      <c r="A79" s="7">
        <v>15</v>
      </c>
      <c r="B79" s="547"/>
      <c r="C79" s="621"/>
      <c r="D79" s="547"/>
      <c r="E79" s="547"/>
      <c r="F79" s="151"/>
      <c r="G79" s="64"/>
      <c r="H79" s="134"/>
      <c r="I79" s="43"/>
    </row>
    <row r="80" spans="1:9" ht="15.75">
      <c r="A80" s="7">
        <v>16</v>
      </c>
      <c r="B80" s="151"/>
      <c r="C80" s="621"/>
      <c r="D80" s="545"/>
      <c r="E80" s="150"/>
      <c r="F80" s="508"/>
      <c r="G80" s="81"/>
      <c r="H80" s="135"/>
      <c r="I80" s="64"/>
    </row>
    <row r="81" spans="1:9" ht="15.75">
      <c r="A81" s="7">
        <v>17</v>
      </c>
      <c r="B81" s="774"/>
      <c r="C81" s="471"/>
      <c r="D81" s="399"/>
      <c r="E81" s="635"/>
      <c r="F81" s="775"/>
      <c r="G81" s="339"/>
      <c r="H81" s="136"/>
      <c r="I81" s="113"/>
    </row>
    <row r="82" spans="1:9" ht="15.75">
      <c r="A82" s="7">
        <v>18</v>
      </c>
      <c r="B82" s="774"/>
      <c r="C82" s="666"/>
      <c r="D82" s="150"/>
      <c r="E82" s="150"/>
      <c r="F82" s="151"/>
      <c r="G82" s="150"/>
      <c r="H82" s="150"/>
      <c r="I82" s="43"/>
    </row>
    <row r="83" spans="1:9" ht="15.75">
      <c r="A83" s="7">
        <v>19</v>
      </c>
      <c r="B83" s="774"/>
      <c r="C83" s="776"/>
      <c r="D83" s="150"/>
      <c r="E83" s="150"/>
      <c r="F83" s="151"/>
      <c r="G83" s="150"/>
      <c r="H83" s="43"/>
      <c r="I83" s="43"/>
    </row>
    <row r="84" spans="1:9" ht="15.75">
      <c r="A84" s="7">
        <v>20</v>
      </c>
      <c r="B84" s="774"/>
      <c r="C84" s="150"/>
      <c r="D84" s="458"/>
      <c r="E84" s="150"/>
      <c r="F84" s="151"/>
      <c r="G84" s="340"/>
      <c r="H84" s="91"/>
      <c r="I84" s="43"/>
    </row>
    <row r="85" spans="1:9" ht="15.75">
      <c r="A85" s="7">
        <v>21</v>
      </c>
      <c r="B85" s="100"/>
      <c r="C85" s="458"/>
      <c r="D85" s="458"/>
      <c r="E85" s="458"/>
      <c r="F85" s="568"/>
      <c r="G85" s="340"/>
      <c r="H85" s="777"/>
      <c r="I85" s="81"/>
    </row>
    <row r="86" spans="1:9" ht="15.75">
      <c r="A86" s="7">
        <v>22</v>
      </c>
      <c r="B86" s="137"/>
      <c r="C86" s="458"/>
      <c r="D86" s="458"/>
      <c r="E86" s="458"/>
      <c r="F86" s="568"/>
      <c r="G86" s="64"/>
      <c r="H86" s="778"/>
      <c r="I86" s="43"/>
    </row>
    <row r="87" spans="1:9" ht="15.75">
      <c r="A87" s="16">
        <v>23</v>
      </c>
      <c r="B87" s="138"/>
      <c r="C87" s="625"/>
      <c r="D87" s="140"/>
      <c r="E87" s="141"/>
      <c r="F87" s="151"/>
      <c r="G87" s="64"/>
      <c r="H87" s="64"/>
      <c r="I87" s="64"/>
    </row>
    <row r="88" spans="1:9" ht="15.75">
      <c r="A88" s="16">
        <v>24</v>
      </c>
      <c r="B88" s="142"/>
      <c r="C88" s="626"/>
      <c r="D88" s="133"/>
      <c r="E88" s="439"/>
      <c r="F88" s="151"/>
      <c r="G88" s="64"/>
      <c r="H88" s="150"/>
      <c r="I88" s="64"/>
    </row>
    <row r="89" spans="1:9" ht="15.75">
      <c r="A89" s="7">
        <v>25</v>
      </c>
      <c r="B89" s="150"/>
      <c r="C89" s="621"/>
      <c r="D89" s="163"/>
      <c r="E89" s="339"/>
      <c r="F89" s="151"/>
      <c r="G89" s="64"/>
      <c r="H89" s="64"/>
      <c r="I89" s="545"/>
    </row>
    <row r="90" spans="1:9" ht="15.75">
      <c r="A90" s="7">
        <v>26</v>
      </c>
      <c r="B90" s="150"/>
      <c r="C90" s="339"/>
      <c r="D90" s="74"/>
      <c r="E90" s="339"/>
      <c r="F90" s="151"/>
      <c r="G90" s="339"/>
      <c r="H90" s="547"/>
      <c r="I90" s="64"/>
    </row>
    <row r="91" spans="1:9" ht="15.75">
      <c r="A91" s="7">
        <v>27</v>
      </c>
      <c r="B91" s="43"/>
      <c r="C91" s="621"/>
      <c r="D91" s="339"/>
      <c r="E91" s="439"/>
      <c r="F91" s="339"/>
      <c r="G91" s="150"/>
      <c r="H91" s="74"/>
      <c r="I91" s="64"/>
    </row>
    <row r="92" spans="1:9" ht="15.75">
      <c r="A92" s="7">
        <v>28</v>
      </c>
      <c r="B92" s="547"/>
      <c r="C92" s="547"/>
      <c r="D92" s="131"/>
      <c r="E92" s="339"/>
      <c r="F92" s="339"/>
      <c r="G92" s="170"/>
      <c r="H92" s="64"/>
      <c r="I92" s="144"/>
    </row>
    <row r="93" spans="1:9" ht="15.75">
      <c r="A93" s="7">
        <v>29</v>
      </c>
      <c r="B93" s="547"/>
      <c r="C93" s="547"/>
      <c r="D93" s="131"/>
      <c r="E93" s="339"/>
      <c r="F93" s="131"/>
      <c r="G93" s="64"/>
      <c r="H93" s="64"/>
      <c r="I93" s="144"/>
    </row>
    <row r="94" spans="1:9">
      <c r="A94" s="7">
        <v>30</v>
      </c>
      <c r="B94" s="43"/>
      <c r="C94" s="471"/>
      <c r="D94" s="91"/>
      <c r="E94" s="91"/>
      <c r="F94" s="150"/>
      <c r="G94" s="64"/>
      <c r="H94" s="163"/>
      <c r="I94" s="144"/>
    </row>
    <row r="95" spans="1:9">
      <c r="A95" s="5"/>
      <c r="B95" s="5"/>
      <c r="C95" s="5"/>
      <c r="D95" s="5"/>
      <c r="E95" s="5"/>
      <c r="F95" s="5"/>
      <c r="G95" s="5"/>
      <c r="H95" s="5"/>
      <c r="I95" s="5"/>
    </row>
    <row r="98" spans="1:8" ht="15.75" thickBot="1">
      <c r="F98" s="256"/>
      <c r="G98" s="256"/>
      <c r="H98" s="256"/>
    </row>
    <row r="99" spans="1:8" ht="15.75" thickTop="1">
      <c r="A99" s="224"/>
      <c r="B99" s="224"/>
      <c r="C99" s="224"/>
      <c r="D99" s="224"/>
      <c r="E99" s="224"/>
      <c r="H99" s="1034"/>
    </row>
    <row r="100" spans="1:8">
      <c r="A100" s="1201" t="s">
        <v>253</v>
      </c>
      <c r="B100" s="1201"/>
      <c r="C100" s="1201"/>
      <c r="D100" s="1201"/>
      <c r="E100" s="1201"/>
      <c r="H100" s="1034"/>
    </row>
    <row r="101" spans="1:8">
      <c r="H101" s="1034"/>
    </row>
    <row r="102" spans="1:8" ht="15.75">
      <c r="A102" s="177"/>
      <c r="B102" s="177"/>
      <c r="C102" s="178">
        <v>2019</v>
      </c>
      <c r="D102" s="179">
        <v>2022</v>
      </c>
      <c r="E102" s="180">
        <v>2023</v>
      </c>
      <c r="F102" s="845">
        <v>2024</v>
      </c>
      <c r="G102" s="856">
        <v>2025</v>
      </c>
      <c r="H102" s="1035">
        <v>2026</v>
      </c>
    </row>
    <row r="103" spans="1:8">
      <c r="A103" t="s">
        <v>118</v>
      </c>
      <c r="C103" s="259">
        <v>4623.96</v>
      </c>
      <c r="D103" s="183">
        <v>2619.83</v>
      </c>
      <c r="E103" s="184">
        <v>1062.81</v>
      </c>
      <c r="F103" s="277">
        <v>1182.8499999999999</v>
      </c>
      <c r="G103" s="488">
        <v>2821.07</v>
      </c>
      <c r="H103" s="215"/>
    </row>
    <row r="104" spans="1:8">
      <c r="A104" t="s">
        <v>119</v>
      </c>
      <c r="C104" s="259">
        <v>0</v>
      </c>
      <c r="D104" s="183">
        <v>7285.04</v>
      </c>
      <c r="E104" s="184">
        <v>61.98</v>
      </c>
      <c r="F104" s="277">
        <v>134.5</v>
      </c>
      <c r="G104" s="488">
        <v>640.5</v>
      </c>
      <c r="H104" s="215"/>
    </row>
    <row r="105" spans="1:8">
      <c r="A105" t="s">
        <v>121</v>
      </c>
      <c r="C105" s="259">
        <v>17660</v>
      </c>
      <c r="D105" s="183">
        <v>9163.18</v>
      </c>
      <c r="E105" s="184">
        <v>13277.09</v>
      </c>
      <c r="F105" s="277">
        <v>11668.97</v>
      </c>
      <c r="G105" s="488">
        <v>0</v>
      </c>
      <c r="H105" s="215"/>
    </row>
    <row r="106" spans="1:8">
      <c r="A106" t="s">
        <v>123</v>
      </c>
      <c r="C106" s="259">
        <v>9890.66</v>
      </c>
      <c r="D106" s="183">
        <v>2564.1799999999998</v>
      </c>
      <c r="E106" s="184">
        <v>8209.64</v>
      </c>
      <c r="F106" s="277">
        <v>5508.55</v>
      </c>
      <c r="G106" s="488">
        <v>3736.36</v>
      </c>
      <c r="H106" s="215"/>
    </row>
    <row r="107" spans="1:8">
      <c r="A107" t="s">
        <v>125</v>
      </c>
      <c r="C107" s="259">
        <v>3176.1869999999999</v>
      </c>
      <c r="D107" s="183">
        <v>6826.64</v>
      </c>
      <c r="E107" s="184">
        <v>8869.15</v>
      </c>
      <c r="F107" s="277">
        <v>9330.7099999999991</v>
      </c>
      <c r="G107" s="488">
        <v>1791.82</v>
      </c>
      <c r="H107" s="215"/>
    </row>
    <row r="108" spans="1:8">
      <c r="A108" t="s">
        <v>127</v>
      </c>
      <c r="C108" s="259">
        <v>2151.96</v>
      </c>
      <c r="D108" s="183">
        <v>2066.0700000000002</v>
      </c>
      <c r="E108" s="184">
        <v>499.09</v>
      </c>
      <c r="F108" s="277">
        <v>736.27</v>
      </c>
      <c r="G108" s="488">
        <v>1351.36</v>
      </c>
      <c r="H108" s="215"/>
    </row>
    <row r="109" spans="1:8">
      <c r="A109" t="s">
        <v>129</v>
      </c>
      <c r="C109" s="259">
        <v>4712.76</v>
      </c>
      <c r="D109" s="183">
        <v>1387.4</v>
      </c>
      <c r="E109" s="184">
        <v>1060.56</v>
      </c>
      <c r="F109" s="277">
        <v>1919.18</v>
      </c>
      <c r="G109" s="488">
        <v>1304.0999999999999</v>
      </c>
      <c r="H109" s="215"/>
    </row>
    <row r="110" spans="1:8">
      <c r="A110" t="s">
        <v>131</v>
      </c>
      <c r="C110" s="259">
        <v>33642.18</v>
      </c>
      <c r="D110" s="183">
        <v>31077.16</v>
      </c>
      <c r="E110" s="184">
        <v>51339.45</v>
      </c>
      <c r="F110" s="277">
        <v>38492.28</v>
      </c>
      <c r="G110" s="488">
        <v>36162.83</v>
      </c>
      <c r="H110" s="215"/>
    </row>
    <row r="111" spans="1:8">
      <c r="A111" t="s">
        <v>133</v>
      </c>
      <c r="C111" s="259">
        <v>1647.73</v>
      </c>
      <c r="D111" s="183">
        <v>1509.09</v>
      </c>
      <c r="E111" s="184">
        <v>1778.64</v>
      </c>
      <c r="F111" s="277">
        <v>1958.37</v>
      </c>
      <c r="G111" s="488">
        <v>1928.01</v>
      </c>
      <c r="H111" s="215"/>
    </row>
    <row r="112" spans="1:8">
      <c r="A112" t="s">
        <v>8</v>
      </c>
      <c r="C112" s="259">
        <v>4353.1899999999996</v>
      </c>
      <c r="D112" s="183">
        <v>1760</v>
      </c>
      <c r="E112" s="184">
        <v>2064.91</v>
      </c>
      <c r="F112" s="277">
        <v>3081.87</v>
      </c>
      <c r="G112" s="488">
        <v>7386.99</v>
      </c>
      <c r="H112" s="215"/>
    </row>
    <row r="113" spans="1:8">
      <c r="A113" s="177"/>
      <c r="B113" s="177"/>
      <c r="D113" s="200"/>
      <c r="E113" s="850"/>
      <c r="F113" s="851" t="s">
        <v>255</v>
      </c>
      <c r="G113" s="862"/>
      <c r="H113" s="215"/>
    </row>
    <row r="114" spans="1:8" ht="15.75" thickBot="1">
      <c r="B114" s="260" t="s">
        <v>137</v>
      </c>
      <c r="C114" s="261">
        <v>81858.62</v>
      </c>
      <c r="D114" s="857">
        <f>SUM(D103:D112)</f>
        <v>66258.59</v>
      </c>
      <c r="E114" s="848">
        <f>SUM(E103:E112)</f>
        <v>88223.319999999992</v>
      </c>
      <c r="F114" s="279">
        <f>SUM(F103:F112)</f>
        <v>74013.549999999988</v>
      </c>
      <c r="G114" s="279">
        <f>SUM(G103:G112)</f>
        <v>57123.040000000001</v>
      </c>
      <c r="H114" s="858"/>
    </row>
    <row r="115" spans="1:8" ht="15.75" thickTop="1">
      <c r="D115" s="206"/>
    </row>
    <row r="116" spans="1:8">
      <c r="C116" s="239" t="s">
        <v>134</v>
      </c>
      <c r="D116" s="263">
        <f>G114-C114</f>
        <v>-24735.579999999994</v>
      </c>
    </row>
    <row r="117" spans="1:8">
      <c r="C117" s="241" t="s">
        <v>138</v>
      </c>
      <c r="D117" s="262">
        <f>G114-D114</f>
        <v>-9135.5499999999956</v>
      </c>
    </row>
    <row r="118" spans="1:8">
      <c r="C118" s="240" t="s">
        <v>139</v>
      </c>
      <c r="D118" s="643">
        <f>G114-E114</f>
        <v>-31100.279999999992</v>
      </c>
    </row>
    <row r="119" spans="1:8">
      <c r="C119" s="213" t="s">
        <v>140</v>
      </c>
      <c r="D119" s="264">
        <f>G114-F114</f>
        <v>-16890.509999999987</v>
      </c>
    </row>
    <row r="120" spans="1:8">
      <c r="C120" s="844" t="s">
        <v>490</v>
      </c>
      <c r="D120" s="643">
        <f>H114-G114</f>
        <v>-57123.040000000001</v>
      </c>
    </row>
    <row r="121" spans="1:8" ht="15.75" thickBot="1">
      <c r="A121" s="223"/>
      <c r="B121" s="223"/>
      <c r="C121" s="223"/>
      <c r="D121" s="223"/>
      <c r="E121" s="223"/>
      <c r="F121" s="223"/>
      <c r="G121" s="256"/>
      <c r="H121" s="256"/>
    </row>
    <row r="122" spans="1:8" ht="15.75" thickTop="1">
      <c r="H122" s="1034"/>
    </row>
    <row r="123" spans="1:8">
      <c r="A123" s="1201" t="s">
        <v>256</v>
      </c>
      <c r="B123" s="1201"/>
      <c r="C123" s="1201"/>
      <c r="D123" s="1201"/>
      <c r="E123" s="1201"/>
      <c r="H123" s="1034"/>
    </row>
    <row r="124" spans="1:8">
      <c r="H124" s="1034"/>
    </row>
    <row r="125" spans="1:8" ht="15.75">
      <c r="A125" s="177"/>
      <c r="B125" s="177"/>
      <c r="C125" s="178">
        <v>2019</v>
      </c>
      <c r="D125" s="179">
        <v>2022</v>
      </c>
      <c r="E125" s="180">
        <v>2023</v>
      </c>
      <c r="F125" s="845">
        <v>2024</v>
      </c>
      <c r="G125" s="856">
        <v>2025</v>
      </c>
      <c r="H125" s="1035">
        <v>2026</v>
      </c>
    </row>
    <row r="126" spans="1:8">
      <c r="A126" t="s">
        <v>118</v>
      </c>
      <c r="C126" s="259">
        <v>2994.11</v>
      </c>
      <c r="D126" s="183">
        <v>3648.76</v>
      </c>
      <c r="E126" s="184">
        <v>3041.32</v>
      </c>
      <c r="F126" s="277">
        <v>5208.68</v>
      </c>
      <c r="G126" s="488">
        <v>3697.73</v>
      </c>
      <c r="H126" s="215"/>
    </row>
    <row r="127" spans="1:8">
      <c r="A127" t="s">
        <v>119</v>
      </c>
      <c r="C127" s="259">
        <v>429.75</v>
      </c>
      <c r="D127" s="183">
        <v>2891.16</v>
      </c>
      <c r="E127" s="184">
        <v>0</v>
      </c>
      <c r="F127" s="277">
        <v>247.93</v>
      </c>
      <c r="G127" s="488">
        <v>1227.48</v>
      </c>
      <c r="H127" s="215"/>
    </row>
    <row r="128" spans="1:8">
      <c r="A128" t="s">
        <v>121</v>
      </c>
      <c r="C128" s="259">
        <v>18839.09</v>
      </c>
      <c r="D128" s="183">
        <v>10209.549999999999</v>
      </c>
      <c r="E128" s="184">
        <v>14425.91</v>
      </c>
      <c r="F128" s="277">
        <v>13882.35</v>
      </c>
      <c r="G128" s="488">
        <v>371.09</v>
      </c>
      <c r="H128" s="215"/>
    </row>
    <row r="129" spans="1:8">
      <c r="A129" t="s">
        <v>123</v>
      </c>
      <c r="C129" s="259">
        <v>12942.73</v>
      </c>
      <c r="D129" s="183">
        <v>5320.91</v>
      </c>
      <c r="E129" s="184">
        <v>11200</v>
      </c>
      <c r="F129" s="277">
        <v>9669.32</v>
      </c>
      <c r="G129" s="488">
        <v>11430.23</v>
      </c>
      <c r="H129" s="215"/>
    </row>
    <row r="130" spans="1:8">
      <c r="A130" t="s">
        <v>125</v>
      </c>
      <c r="C130" s="259">
        <v>4396.5</v>
      </c>
      <c r="D130" s="183">
        <v>11407.08</v>
      </c>
      <c r="E130" s="184">
        <v>6954.12</v>
      </c>
      <c r="F130" s="277">
        <v>19412.37</v>
      </c>
      <c r="G130" s="488">
        <v>6861.64</v>
      </c>
      <c r="H130" s="215"/>
    </row>
    <row r="131" spans="1:8">
      <c r="A131" t="s">
        <v>127</v>
      </c>
      <c r="C131" s="259">
        <v>898.55</v>
      </c>
      <c r="D131" s="183">
        <v>1015</v>
      </c>
      <c r="E131" s="184">
        <v>6548.18</v>
      </c>
      <c r="F131" s="277">
        <v>3437.27</v>
      </c>
      <c r="G131" s="488">
        <v>2354.73</v>
      </c>
      <c r="H131" s="215"/>
    </row>
    <row r="132" spans="1:8">
      <c r="A132" t="s">
        <v>129</v>
      </c>
      <c r="C132" s="259">
        <v>3867.83</v>
      </c>
      <c r="D132" s="183">
        <v>1349.75</v>
      </c>
      <c r="E132" s="184">
        <v>1406.67</v>
      </c>
      <c r="F132" s="277">
        <v>1276.8699999999999</v>
      </c>
      <c r="G132" s="488">
        <v>921.88</v>
      </c>
      <c r="H132" s="215"/>
    </row>
    <row r="133" spans="1:8">
      <c r="A133" t="s">
        <v>131</v>
      </c>
      <c r="C133" s="259">
        <v>36730.080000000002</v>
      </c>
      <c r="D133" s="183">
        <v>32027.09</v>
      </c>
      <c r="E133" s="184">
        <v>51088.37</v>
      </c>
      <c r="F133" s="277">
        <v>52993.440000000002</v>
      </c>
      <c r="G133" s="488">
        <v>42038.51</v>
      </c>
      <c r="H133" s="215"/>
    </row>
    <row r="134" spans="1:8">
      <c r="A134" t="s">
        <v>133</v>
      </c>
      <c r="C134" s="259">
        <v>1545.45</v>
      </c>
      <c r="D134" s="183">
        <v>1462.73</v>
      </c>
      <c r="E134" s="184">
        <v>1904.55</v>
      </c>
      <c r="F134" s="277">
        <v>2048.56</v>
      </c>
      <c r="G134" s="488">
        <v>1735.91</v>
      </c>
      <c r="H134" s="215"/>
    </row>
    <row r="135" spans="1:8">
      <c r="A135" t="s">
        <v>8</v>
      </c>
      <c r="C135" s="259">
        <v>4139.55</v>
      </c>
      <c r="D135" s="183">
        <v>2003.23</v>
      </c>
      <c r="E135" s="184">
        <v>3559.09</v>
      </c>
      <c r="F135" s="277">
        <v>3149.36</v>
      </c>
      <c r="G135" s="488">
        <v>5214.5</v>
      </c>
      <c r="H135" s="215"/>
    </row>
    <row r="136" spans="1:8">
      <c r="A136" s="177"/>
      <c r="B136" s="177"/>
      <c r="D136" s="200"/>
      <c r="E136" s="850"/>
      <c r="F136" s="851"/>
      <c r="G136" s="862"/>
      <c r="H136" s="215"/>
    </row>
    <row r="137" spans="1:8" ht="15.75" thickBot="1">
      <c r="B137" s="281" t="s">
        <v>137</v>
      </c>
      <c r="C137" s="261">
        <v>86783.64</v>
      </c>
      <c r="D137" s="857">
        <f>SUM(D126:D135)</f>
        <v>71335.259999999995</v>
      </c>
      <c r="E137" s="848">
        <f>SUM(E126:E135)</f>
        <v>100128.21</v>
      </c>
      <c r="F137" s="279">
        <f>SUM(F126:F135)</f>
        <v>111326.15</v>
      </c>
      <c r="G137" s="864">
        <f>SUM(G126:G135)</f>
        <v>75853.700000000012</v>
      </c>
      <c r="H137" s="858"/>
    </row>
    <row r="138" spans="1:8" ht="15.75" thickTop="1">
      <c r="D138" s="206"/>
    </row>
    <row r="139" spans="1:8">
      <c r="C139" s="239" t="s">
        <v>134</v>
      </c>
      <c r="D139" s="282">
        <f>G137-C137</f>
        <v>-10929.939999999988</v>
      </c>
    </row>
    <row r="140" spans="1:8">
      <c r="C140" s="241" t="s">
        <v>138</v>
      </c>
      <c r="D140" s="262">
        <f>G137-D137</f>
        <v>4518.4400000000169</v>
      </c>
    </row>
    <row r="141" spans="1:8">
      <c r="C141" s="240" t="s">
        <v>139</v>
      </c>
      <c r="D141" s="644">
        <f>G137-E137</f>
        <v>-24274.509999999995</v>
      </c>
    </row>
    <row r="142" spans="1:8">
      <c r="C142" s="213" t="s">
        <v>140</v>
      </c>
      <c r="D142" s="283">
        <f>G137-F137</f>
        <v>-35472.449999999983</v>
      </c>
    </row>
    <row r="143" spans="1:8" ht="15.75">
      <c r="C143" s="844" t="s">
        <v>490</v>
      </c>
      <c r="D143" s="859">
        <f>H137-G137</f>
        <v>-75853.700000000012</v>
      </c>
    </row>
    <row r="144" spans="1:8" ht="15.75" thickBot="1">
      <c r="A144" s="256"/>
      <c r="B144" s="256"/>
      <c r="C144" s="256"/>
      <c r="D144" s="256"/>
      <c r="E144" s="256"/>
      <c r="F144" s="256"/>
      <c r="G144" s="256"/>
      <c r="H144" s="256"/>
    </row>
    <row r="145" spans="1:8" ht="15.75" thickTop="1">
      <c r="H145" s="1034"/>
    </row>
    <row r="146" spans="1:8">
      <c r="A146" s="1201" t="s">
        <v>258</v>
      </c>
      <c r="B146" s="1201"/>
      <c r="C146" s="1201"/>
      <c r="D146" s="1201"/>
      <c r="E146" s="1201"/>
      <c r="H146" s="1034"/>
    </row>
    <row r="147" spans="1:8">
      <c r="H147" s="1034"/>
    </row>
    <row r="148" spans="1:8" ht="15.75">
      <c r="A148" s="177"/>
      <c r="B148" s="177"/>
      <c r="C148" s="178">
        <v>2019</v>
      </c>
      <c r="D148" s="179">
        <v>2022</v>
      </c>
      <c r="E148" s="180">
        <v>2023</v>
      </c>
      <c r="F148" s="845">
        <v>2024</v>
      </c>
      <c r="G148" s="856">
        <v>2025</v>
      </c>
      <c r="H148" s="855">
        <v>2026</v>
      </c>
    </row>
    <row r="149" spans="1:8">
      <c r="A149" t="s">
        <v>118</v>
      </c>
      <c r="C149" s="182">
        <v>4875.62</v>
      </c>
      <c r="D149" s="183">
        <v>3358.26</v>
      </c>
      <c r="E149" s="184">
        <v>6188.84</v>
      </c>
      <c r="F149" s="277">
        <v>4990.5</v>
      </c>
      <c r="G149" s="488">
        <v>5793.8</v>
      </c>
      <c r="H149" s="215"/>
    </row>
    <row r="150" spans="1:8">
      <c r="A150" t="s">
        <v>119</v>
      </c>
      <c r="C150" s="182">
        <v>896.69</v>
      </c>
      <c r="D150" s="183">
        <v>99.17</v>
      </c>
      <c r="E150" s="184">
        <v>702.48</v>
      </c>
      <c r="F150" s="277">
        <v>1131.82</v>
      </c>
      <c r="G150" s="488">
        <v>958.68</v>
      </c>
      <c r="H150" s="215"/>
    </row>
    <row r="151" spans="1:8">
      <c r="A151" t="s">
        <v>121</v>
      </c>
      <c r="C151" s="182">
        <v>22642.73</v>
      </c>
      <c r="D151" s="183">
        <v>8940.82</v>
      </c>
      <c r="E151" s="184">
        <v>11300.81</v>
      </c>
      <c r="F151" s="277">
        <v>10923.8</v>
      </c>
      <c r="G151" s="488">
        <v>0</v>
      </c>
      <c r="H151" s="215"/>
    </row>
    <row r="152" spans="1:8">
      <c r="A152" t="s">
        <v>123</v>
      </c>
      <c r="C152" s="182">
        <v>17647.73</v>
      </c>
      <c r="D152" s="183">
        <v>6008</v>
      </c>
      <c r="E152" s="184">
        <v>11932.64</v>
      </c>
      <c r="F152" s="277">
        <v>21918.18</v>
      </c>
      <c r="G152" s="488">
        <v>7182.95</v>
      </c>
      <c r="H152" s="215"/>
    </row>
    <row r="153" spans="1:8">
      <c r="A153" t="s">
        <v>125</v>
      </c>
      <c r="C153" s="182">
        <v>5242</v>
      </c>
      <c r="D153" s="183">
        <v>19401.55</v>
      </c>
      <c r="E153" s="184">
        <v>13733.42</v>
      </c>
      <c r="F153" s="277">
        <v>7222.53</v>
      </c>
      <c r="G153" s="488">
        <v>16402.23</v>
      </c>
      <c r="H153" s="215"/>
    </row>
    <row r="154" spans="1:8">
      <c r="A154" t="s">
        <v>127</v>
      </c>
      <c r="C154" s="182">
        <v>2489.0500000000002</v>
      </c>
      <c r="D154" s="183">
        <v>1024.55</v>
      </c>
      <c r="E154" s="184">
        <v>1725.91</v>
      </c>
      <c r="F154" s="277">
        <v>1094.8</v>
      </c>
      <c r="G154" s="488">
        <v>455.14</v>
      </c>
      <c r="H154" s="215"/>
    </row>
    <row r="155" spans="1:8">
      <c r="A155" t="s">
        <v>129</v>
      </c>
      <c r="C155" s="182">
        <v>3195.75</v>
      </c>
      <c r="D155" s="183">
        <v>1595.08</v>
      </c>
      <c r="E155" s="184">
        <v>1492.09</v>
      </c>
      <c r="F155" s="277">
        <v>1800.8</v>
      </c>
      <c r="G155" s="488">
        <v>1600.48</v>
      </c>
      <c r="H155" s="215"/>
    </row>
    <row r="156" spans="1:8">
      <c r="A156" t="s">
        <v>131</v>
      </c>
      <c r="C156" s="182">
        <v>36469.019999999997</v>
      </c>
      <c r="D156" s="183">
        <v>36899.26</v>
      </c>
      <c r="E156" s="184">
        <v>53887.65</v>
      </c>
      <c r="F156" s="277">
        <v>46491.03</v>
      </c>
      <c r="G156" s="488">
        <v>42978.720000000001</v>
      </c>
      <c r="H156" s="215"/>
    </row>
    <row r="157" spans="1:8">
      <c r="A157" t="s">
        <v>133</v>
      </c>
      <c r="C157" s="182">
        <v>1738.64</v>
      </c>
      <c r="D157" s="183">
        <v>1965.91</v>
      </c>
      <c r="E157" s="184">
        <v>2090.91</v>
      </c>
      <c r="F157" s="277">
        <v>2054.0100000000002</v>
      </c>
      <c r="G157" s="488">
        <v>1465.69</v>
      </c>
      <c r="H157" s="215"/>
    </row>
    <row r="158" spans="1:8">
      <c r="A158" t="s">
        <v>8</v>
      </c>
      <c r="C158" s="182">
        <v>4837.7299999999996</v>
      </c>
      <c r="D158" s="183">
        <v>1674.09</v>
      </c>
      <c r="E158" s="184">
        <v>1881</v>
      </c>
      <c r="F158" s="277">
        <v>1591.69</v>
      </c>
      <c r="G158" s="488">
        <v>6168.24</v>
      </c>
      <c r="H158" s="215"/>
    </row>
    <row r="159" spans="1:8">
      <c r="A159" s="177"/>
      <c r="B159" s="177"/>
      <c r="D159" s="200"/>
      <c r="E159" s="850"/>
      <c r="F159" s="851"/>
      <c r="G159" s="862"/>
      <c r="H159" s="215"/>
    </row>
    <row r="160" spans="1:8" ht="15.75" thickBot="1">
      <c r="B160" s="281" t="s">
        <v>137</v>
      </c>
      <c r="C160" s="284">
        <v>100034.96</v>
      </c>
      <c r="D160" s="857">
        <f>SUM(D149:D158)</f>
        <v>80966.69</v>
      </c>
      <c r="E160" s="848">
        <f>SUM(E149:E158)</f>
        <v>104935.75</v>
      </c>
      <c r="F160" s="863">
        <f>SUM(F149:F158)</f>
        <v>99219.16</v>
      </c>
      <c r="G160" s="865">
        <f>SUM(G149:G158)</f>
        <v>83005.930000000008</v>
      </c>
      <c r="H160" s="847"/>
    </row>
    <row r="161" spans="1:8" ht="15.75" thickTop="1">
      <c r="D161" s="206"/>
    </row>
    <row r="162" spans="1:8">
      <c r="C162" s="239" t="s">
        <v>134</v>
      </c>
      <c r="D162" s="285">
        <f>G160-C160</f>
        <v>-17029.03</v>
      </c>
    </row>
    <row r="163" spans="1:8">
      <c r="C163" s="241" t="s">
        <v>138</v>
      </c>
      <c r="D163" s="661">
        <f>G160-D160</f>
        <v>2039.2400000000052</v>
      </c>
    </row>
    <row r="164" spans="1:8">
      <c r="C164" s="240" t="s">
        <v>139</v>
      </c>
      <c r="D164" s="643">
        <f>G160-E160</f>
        <v>-21929.819999999992</v>
      </c>
    </row>
    <row r="165" spans="1:8">
      <c r="C165" s="213" t="s">
        <v>140</v>
      </c>
      <c r="D165" s="264">
        <f>G160-F160</f>
        <v>-16213.229999999996</v>
      </c>
    </row>
    <row r="166" spans="1:8" ht="15.75">
      <c r="C166" s="844" t="s">
        <v>490</v>
      </c>
      <c r="D166" s="859">
        <f>H160-G160</f>
        <v>-83005.930000000008</v>
      </c>
    </row>
    <row r="169" spans="1:8" ht="15.75" thickBot="1">
      <c r="A169" s="256"/>
      <c r="B169" s="256"/>
      <c r="C169" s="256"/>
      <c r="D169" s="256"/>
      <c r="E169" s="256"/>
      <c r="F169" s="256"/>
      <c r="G169" s="256"/>
      <c r="H169" s="256"/>
    </row>
    <row r="170" spans="1:8" ht="15.75" thickTop="1"/>
  </sheetData>
  <mergeCells count="3">
    <mergeCell ref="A100:E100"/>
    <mergeCell ref="A123:E123"/>
    <mergeCell ref="A146:E14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0F6B7-D5CA-4232-AC5E-F9B8A3F503DA}">
  <dimension ref="A1:I169"/>
  <sheetViews>
    <sheetView workbookViewId="0">
      <selection activeCell="D168" sqref="D168"/>
    </sheetView>
  </sheetViews>
  <sheetFormatPr defaultColWidth="11.42578125" defaultRowHeight="15"/>
  <cols>
    <col min="1" max="1" width="21" customWidth="1"/>
    <col min="2" max="2" width="20.7109375" customWidth="1"/>
    <col min="3" max="3" width="24.5703125" customWidth="1"/>
    <col min="4" max="9" width="20.7109375" customWidth="1"/>
  </cols>
  <sheetData>
    <row r="1" spans="1:9" ht="15.75">
      <c r="A1" s="657" t="s">
        <v>260</v>
      </c>
      <c r="B1" s="658" t="s">
        <v>1</v>
      </c>
      <c r="C1" s="658" t="s">
        <v>2</v>
      </c>
      <c r="D1" s="658" t="s">
        <v>3</v>
      </c>
      <c r="E1" s="658" t="s">
        <v>4</v>
      </c>
      <c r="F1" s="658" t="s">
        <v>5</v>
      </c>
      <c r="G1" s="658" t="s">
        <v>6</v>
      </c>
      <c r="H1" s="658" t="s">
        <v>7</v>
      </c>
      <c r="I1" s="659" t="s">
        <v>8</v>
      </c>
    </row>
    <row r="2" spans="1:9" ht="41.25" customHeight="1">
      <c r="A2" s="653">
        <v>1</v>
      </c>
      <c r="B2" s="64" t="s">
        <v>9</v>
      </c>
      <c r="C2" s="64" t="s">
        <v>9</v>
      </c>
      <c r="D2" s="917" t="s">
        <v>506</v>
      </c>
      <c r="E2" s="64" t="s">
        <v>9</v>
      </c>
      <c r="F2" s="81"/>
      <c r="G2" s="917" t="s">
        <v>507</v>
      </c>
      <c r="H2" s="163"/>
      <c r="I2" s="46" t="s">
        <v>9</v>
      </c>
    </row>
    <row r="3" spans="1:9" ht="41.25" customHeight="1">
      <c r="A3" s="654">
        <v>2</v>
      </c>
      <c r="B3" s="64"/>
      <c r="C3" s="64"/>
      <c r="D3" s="917" t="s">
        <v>506</v>
      </c>
      <c r="E3" s="64"/>
      <c r="F3" s="81"/>
      <c r="G3" s="917" t="s">
        <v>507</v>
      </c>
      <c r="H3" s="339"/>
      <c r="I3" s="55"/>
    </row>
    <row r="4" spans="1:9">
      <c r="A4" s="655">
        <v>3</v>
      </c>
      <c r="B4" s="666"/>
      <c r="C4" s="780"/>
      <c r="D4" s="56"/>
      <c r="E4" s="64"/>
      <c r="F4" s="64"/>
      <c r="G4" s="84"/>
      <c r="H4" s="163"/>
      <c r="I4" s="61"/>
    </row>
    <row r="5" spans="1:9" ht="15.75">
      <c r="A5" s="655">
        <v>4</v>
      </c>
      <c r="B5" s="64"/>
      <c r="C5" s="734"/>
      <c r="D5" s="56"/>
      <c r="E5" s="64"/>
      <c r="F5" s="56"/>
      <c r="G5" s="84"/>
      <c r="H5" s="163"/>
      <c r="I5" s="61"/>
    </row>
    <row r="6" spans="1:9">
      <c r="A6" s="655">
        <v>5</v>
      </c>
      <c r="B6" s="64"/>
      <c r="C6" s="64"/>
      <c r="D6" s="56"/>
      <c r="E6" s="64"/>
      <c r="F6" s="64"/>
      <c r="G6" s="64"/>
      <c r="H6" s="163"/>
      <c r="I6" s="61"/>
    </row>
    <row r="7" spans="1:9">
      <c r="A7" s="653">
        <v>6</v>
      </c>
      <c r="B7" s="44"/>
      <c r="C7" s="781"/>
      <c r="D7" s="781"/>
      <c r="E7" s="44"/>
      <c r="F7" s="781"/>
      <c r="G7" s="44"/>
      <c r="H7" s="163"/>
      <c r="I7" s="46"/>
    </row>
    <row r="8" spans="1:9">
      <c r="A8" s="654">
        <v>7</v>
      </c>
      <c r="B8" s="779"/>
      <c r="C8" s="779"/>
      <c r="D8" s="779"/>
      <c r="E8" s="76"/>
      <c r="F8" s="76"/>
      <c r="G8" s="48"/>
      <c r="H8" s="738"/>
      <c r="I8" s="55"/>
    </row>
    <row r="9" spans="1:9">
      <c r="A9" s="653">
        <v>8</v>
      </c>
      <c r="B9" s="73"/>
      <c r="C9" s="73"/>
      <c r="D9" s="73"/>
      <c r="E9" s="44"/>
      <c r="F9" s="44"/>
      <c r="G9" s="44"/>
      <c r="H9" s="45"/>
      <c r="I9" s="46"/>
    </row>
    <row r="10" spans="1:9">
      <c r="A10" s="654">
        <v>9</v>
      </c>
      <c r="B10" s="669"/>
      <c r="C10" s="669"/>
      <c r="D10" s="48"/>
      <c r="E10" s="48"/>
      <c r="F10" s="48"/>
      <c r="G10" s="48"/>
      <c r="H10" s="738"/>
      <c r="I10" s="55"/>
    </row>
    <row r="11" spans="1:9">
      <c r="A11" s="653">
        <v>10</v>
      </c>
      <c r="B11" s="44"/>
      <c r="C11" s="44"/>
      <c r="D11" s="44"/>
      <c r="E11" s="746"/>
      <c r="F11" s="746"/>
      <c r="G11" s="782"/>
      <c r="H11" s="783"/>
      <c r="I11" s="46"/>
    </row>
    <row r="12" spans="1:9">
      <c r="A12" s="654">
        <v>11</v>
      </c>
      <c r="B12" s="48"/>
      <c r="C12" s="48"/>
      <c r="D12" s="784"/>
      <c r="E12" s="747"/>
      <c r="F12" s="785"/>
      <c r="G12" s="786"/>
      <c r="H12" s="749"/>
      <c r="I12" s="55"/>
    </row>
    <row r="13" spans="1:9" ht="15.75">
      <c r="A13" s="653">
        <v>12</v>
      </c>
      <c r="B13" s="648"/>
      <c r="C13" s="621"/>
      <c r="D13" s="568"/>
      <c r="E13" s="568"/>
      <c r="F13" s="43"/>
      <c r="G13" s="44"/>
      <c r="H13" s="45"/>
      <c r="I13" s="46"/>
    </row>
    <row r="14" spans="1:9" ht="15.75">
      <c r="A14" s="654">
        <v>13</v>
      </c>
      <c r="B14" s="649"/>
      <c r="C14" s="621"/>
      <c r="D14" s="568"/>
      <c r="E14" s="568"/>
      <c r="F14" s="50"/>
      <c r="G14" s="48"/>
      <c r="H14" s="51"/>
      <c r="I14" s="48"/>
    </row>
    <row r="15" spans="1:9" ht="15.75">
      <c r="A15" s="653">
        <v>14</v>
      </c>
      <c r="B15" s="335"/>
      <c r="C15" s="151"/>
      <c r="D15" s="43"/>
      <c r="E15" s="44"/>
      <c r="F15" s="639"/>
      <c r="G15" s="44"/>
      <c r="H15" s="54"/>
      <c r="I15" s="44"/>
    </row>
    <row r="16" spans="1:9" ht="15.75">
      <c r="A16" s="654">
        <v>15</v>
      </c>
      <c r="B16" s="352"/>
      <c r="C16" s="56"/>
      <c r="D16" s="56"/>
      <c r="E16" s="57"/>
      <c r="F16" s="639"/>
      <c r="G16" s="59"/>
      <c r="H16" s="60"/>
      <c r="I16" s="55"/>
    </row>
    <row r="17" spans="1:9" ht="15.75">
      <c r="A17" s="655">
        <v>16</v>
      </c>
      <c r="B17" s="64"/>
      <c r="C17" s="58"/>
      <c r="D17" s="62"/>
      <c r="E17" s="63"/>
      <c r="F17" s="639"/>
      <c r="G17" s="64"/>
      <c r="H17" s="60"/>
      <c r="I17" s="61"/>
    </row>
    <row r="18" spans="1:9" ht="15.75">
      <c r="A18" s="655">
        <v>17</v>
      </c>
      <c r="B18" s="66"/>
      <c r="C18" s="66"/>
      <c r="D18" s="568"/>
      <c r="E18" s="568"/>
      <c r="F18" s="335"/>
      <c r="G18" s="131"/>
      <c r="H18" s="67"/>
      <c r="I18" s="68"/>
    </row>
    <row r="19" spans="1:9" ht="15.75">
      <c r="A19" s="655">
        <v>18</v>
      </c>
      <c r="B19" s="787"/>
      <c r="C19" s="67"/>
      <c r="D19" s="568"/>
      <c r="E19" s="568"/>
      <c r="F19" s="633"/>
      <c r="G19" s="788"/>
      <c r="H19" s="67"/>
      <c r="I19" s="67"/>
    </row>
    <row r="20" spans="1:9" ht="15.75">
      <c r="A20" s="655">
        <v>19</v>
      </c>
      <c r="B20" s="787"/>
      <c r="C20" s="67"/>
      <c r="D20" s="568"/>
      <c r="E20" s="789"/>
      <c r="F20" s="633"/>
      <c r="G20" s="788"/>
      <c r="H20" s="67"/>
      <c r="I20" s="67"/>
    </row>
    <row r="21" spans="1:9" ht="15.75">
      <c r="A21" s="653">
        <v>20</v>
      </c>
      <c r="B21" s="787"/>
      <c r="C21" s="73"/>
      <c r="D21" s="568"/>
      <c r="E21" s="789"/>
      <c r="F21" s="633"/>
      <c r="G21" s="91"/>
      <c r="H21" s="45"/>
      <c r="I21" s="61"/>
    </row>
    <row r="22" spans="1:9" ht="15.75">
      <c r="A22" s="654">
        <v>21</v>
      </c>
      <c r="B22" s="790"/>
      <c r="C22" s="791"/>
      <c r="D22" s="150"/>
      <c r="E22" s="339"/>
      <c r="F22" s="339"/>
      <c r="G22" s="150"/>
      <c r="H22" s="792"/>
      <c r="I22" s="61"/>
    </row>
    <row r="23" spans="1:9" ht="15.75">
      <c r="A23" s="655">
        <v>22</v>
      </c>
      <c r="B23" s="668"/>
      <c r="C23" s="668"/>
      <c r="D23" s="74"/>
      <c r="E23" s="339"/>
      <c r="F23" s="339"/>
      <c r="G23" s="64"/>
      <c r="H23" s="793"/>
      <c r="I23" s="61"/>
    </row>
    <row r="24" spans="1:9" ht="15.75">
      <c r="A24" s="655">
        <v>23</v>
      </c>
      <c r="B24" s="668"/>
      <c r="C24" s="668"/>
      <c r="D24" s="150"/>
      <c r="E24" s="150"/>
      <c r="F24" s="339"/>
      <c r="G24" s="332"/>
      <c r="H24" s="79"/>
      <c r="I24" s="61"/>
    </row>
    <row r="25" spans="1:9" ht="15.75">
      <c r="A25" s="655">
        <v>24</v>
      </c>
      <c r="B25" s="668"/>
      <c r="C25" s="151"/>
      <c r="D25" s="43"/>
      <c r="E25" s="43"/>
      <c r="F25" s="339"/>
      <c r="G25" s="81"/>
      <c r="H25" s="82"/>
      <c r="I25" s="61"/>
    </row>
    <row r="26" spans="1:9">
      <c r="A26" s="655">
        <v>25</v>
      </c>
      <c r="B26" s="43"/>
      <c r="C26" s="43"/>
      <c r="D26" s="43"/>
      <c r="E26" s="458"/>
      <c r="F26" s="43"/>
      <c r="G26" s="81"/>
      <c r="H26" s="150"/>
      <c r="I26" s="80"/>
    </row>
    <row r="27" spans="1:9">
      <c r="A27" s="655">
        <v>26</v>
      </c>
      <c r="B27" s="43"/>
      <c r="C27" s="43"/>
      <c r="D27" s="43"/>
      <c r="E27" s="458"/>
      <c r="F27" s="43"/>
      <c r="G27" s="81"/>
      <c r="H27" s="83"/>
      <c r="I27" s="80"/>
    </row>
    <row r="28" spans="1:9">
      <c r="A28" s="655">
        <v>27</v>
      </c>
      <c r="B28" s="651"/>
      <c r="C28" s="84"/>
      <c r="D28" s="84"/>
      <c r="E28" s="458"/>
      <c r="F28" s="85"/>
      <c r="G28" s="84"/>
      <c r="H28" s="86"/>
      <c r="I28" s="61"/>
    </row>
    <row r="29" spans="1:9">
      <c r="A29" s="655">
        <v>28</v>
      </c>
      <c r="B29" s="64"/>
      <c r="C29" s="84"/>
      <c r="D29" s="84"/>
      <c r="E29" s="458"/>
      <c r="F29" s="64"/>
      <c r="G29" s="64"/>
      <c r="H29" s="87"/>
      <c r="I29" s="61"/>
    </row>
    <row r="30" spans="1:9">
      <c r="A30" s="655">
        <v>29</v>
      </c>
      <c r="B30" s="64"/>
      <c r="C30" s="471"/>
      <c r="D30" s="64"/>
      <c r="E30" s="88"/>
      <c r="F30" s="88"/>
      <c r="G30" s="64"/>
      <c r="H30" s="60"/>
      <c r="I30" s="80"/>
    </row>
    <row r="31" spans="1:9">
      <c r="A31" s="655">
        <v>30</v>
      </c>
      <c r="B31" s="64"/>
      <c r="C31" s="64"/>
      <c r="D31" s="64"/>
      <c r="E31" s="88"/>
      <c r="F31" s="88"/>
      <c r="G31" s="64"/>
      <c r="H31" s="60"/>
      <c r="I31" s="80"/>
    </row>
    <row r="32" spans="1:9">
      <c r="A32" s="656">
        <v>31</v>
      </c>
      <c r="B32" s="163"/>
      <c r="C32" s="163"/>
      <c r="D32" s="163"/>
      <c r="E32" s="163"/>
      <c r="F32" s="163"/>
      <c r="G32" s="90"/>
      <c r="H32" s="60"/>
      <c r="I32" s="61"/>
    </row>
    <row r="33" spans="1:9" ht="15.75">
      <c r="A33" s="652" t="s">
        <v>276</v>
      </c>
      <c r="B33" s="37" t="s">
        <v>1</v>
      </c>
      <c r="C33" s="38" t="s">
        <v>2</v>
      </c>
      <c r="D33" s="38" t="s">
        <v>3</v>
      </c>
      <c r="E33" s="38" t="s">
        <v>4</v>
      </c>
      <c r="F33" s="38" t="s">
        <v>5</v>
      </c>
      <c r="G33" s="37" t="s">
        <v>6</v>
      </c>
      <c r="H33" s="3" t="s">
        <v>7</v>
      </c>
      <c r="I33" s="39" t="s">
        <v>8</v>
      </c>
    </row>
    <row r="34" spans="1:9">
      <c r="A34" s="7">
        <v>1</v>
      </c>
      <c r="B34" s="342"/>
      <c r="C34" s="610"/>
      <c r="D34" s="611"/>
      <c r="E34" s="612"/>
      <c r="F34" s="611"/>
      <c r="G34" s="64"/>
      <c r="H34" s="64"/>
      <c r="I34" s="43"/>
    </row>
    <row r="35" spans="1:9">
      <c r="A35" s="7">
        <v>2</v>
      </c>
      <c r="B35" s="342"/>
      <c r="C35" s="613"/>
      <c r="D35" s="614"/>
      <c r="E35" s="615"/>
      <c r="F35" s="614"/>
      <c r="G35" s="54"/>
      <c r="H35" s="74"/>
      <c r="I35" s="64"/>
    </row>
    <row r="36" spans="1:9">
      <c r="A36" s="7">
        <v>3</v>
      </c>
      <c r="B36" s="342"/>
      <c r="C36" s="613"/>
      <c r="D36" s="614"/>
      <c r="E36" s="615"/>
      <c r="F36" s="614"/>
      <c r="G36" s="74"/>
      <c r="H36" s="74"/>
      <c r="I36" s="64"/>
    </row>
    <row r="37" spans="1:9">
      <c r="A37" s="7">
        <v>4</v>
      </c>
      <c r="B37" s="342"/>
      <c r="C37" s="703"/>
      <c r="D37" s="614"/>
      <c r="E37" s="615"/>
      <c r="F37" s="614"/>
      <c r="G37" s="64"/>
      <c r="H37" s="64"/>
      <c r="I37" s="64"/>
    </row>
    <row r="38" spans="1:9">
      <c r="A38" s="7">
        <v>5</v>
      </c>
      <c r="B38" s="342"/>
      <c r="C38" s="791"/>
      <c r="D38" s="679"/>
      <c r="E38" s="618"/>
      <c r="F38" s="617"/>
      <c r="G38" s="97"/>
      <c r="H38" s="98"/>
      <c r="I38" s="64"/>
    </row>
    <row r="39" spans="1:9">
      <c r="A39" s="7">
        <v>6</v>
      </c>
      <c r="B39" s="342"/>
      <c r="C39" s="610"/>
      <c r="D39" s="611"/>
      <c r="E39" s="612"/>
      <c r="F39" s="611"/>
      <c r="G39" s="64"/>
      <c r="H39" s="64"/>
      <c r="I39" s="43"/>
    </row>
    <row r="40" spans="1:9">
      <c r="A40" s="7">
        <v>7</v>
      </c>
      <c r="B40" s="396"/>
      <c r="C40" s="613"/>
      <c r="D40" s="688"/>
      <c r="E40" s="689"/>
      <c r="F40" s="688"/>
      <c r="G40" s="64"/>
      <c r="H40" s="64"/>
      <c r="I40" s="64"/>
    </row>
    <row r="41" spans="1:9">
      <c r="A41" s="16">
        <v>8</v>
      </c>
      <c r="B41" s="611"/>
      <c r="C41" s="342"/>
      <c r="D41" s="610"/>
      <c r="E41" s="611"/>
      <c r="F41" s="611"/>
      <c r="G41" s="43"/>
      <c r="H41" s="64"/>
      <c r="I41" s="64"/>
    </row>
    <row r="42" spans="1:9">
      <c r="A42" s="16">
        <v>9</v>
      </c>
      <c r="B42" s="388"/>
      <c r="C42" s="342"/>
      <c r="D42" s="616"/>
      <c r="E42" s="611"/>
      <c r="F42" s="611"/>
      <c r="G42" s="64"/>
      <c r="H42" s="64"/>
      <c r="I42" s="64"/>
    </row>
    <row r="43" spans="1:9">
      <c r="A43" s="7">
        <v>10</v>
      </c>
      <c r="B43" s="342"/>
      <c r="C43" s="616"/>
      <c r="D43" s="617"/>
      <c r="E43" s="618"/>
      <c r="F43" s="617"/>
      <c r="G43" s="64"/>
      <c r="H43" s="100"/>
      <c r="I43" s="64"/>
    </row>
    <row r="44" spans="1:9">
      <c r="A44" s="7">
        <v>11</v>
      </c>
      <c r="B44" s="342"/>
      <c r="C44" s="610"/>
      <c r="D44" s="611"/>
      <c r="E44" s="612"/>
      <c r="F44" s="611"/>
      <c r="G44" s="64"/>
      <c r="H44" s="64"/>
      <c r="I44" s="64"/>
    </row>
    <row r="45" spans="1:9">
      <c r="A45" s="7">
        <v>12</v>
      </c>
      <c r="B45" s="342"/>
      <c r="C45" s="613"/>
      <c r="D45" s="614"/>
      <c r="E45" s="615"/>
      <c r="F45" s="614"/>
      <c r="G45" s="64"/>
      <c r="H45" s="64"/>
      <c r="I45" s="43"/>
    </row>
    <row r="46" spans="1:9">
      <c r="A46" s="7">
        <v>13</v>
      </c>
      <c r="B46" s="342"/>
      <c r="C46" s="613"/>
      <c r="D46" s="614"/>
      <c r="E46" s="615"/>
      <c r="F46" s="614"/>
      <c r="G46" s="64"/>
      <c r="H46" s="64"/>
      <c r="I46" s="54"/>
    </row>
    <row r="47" spans="1:9" ht="15.75">
      <c r="A47" s="7">
        <v>14</v>
      </c>
      <c r="B47" s="342"/>
      <c r="C47" s="613"/>
      <c r="D47" s="614"/>
      <c r="E47" s="615"/>
      <c r="F47" s="614"/>
      <c r="G47" s="102"/>
      <c r="H47" s="102"/>
      <c r="I47" s="64"/>
    </row>
    <row r="48" spans="1:9" ht="15.75">
      <c r="A48" s="7">
        <v>15</v>
      </c>
      <c r="B48" s="396"/>
      <c r="C48" s="616"/>
      <c r="D48" s="617"/>
      <c r="E48" s="618"/>
      <c r="F48" s="617"/>
      <c r="G48" s="103"/>
      <c r="H48" s="150"/>
      <c r="I48" s="43"/>
    </row>
    <row r="49" spans="1:9" ht="15.75">
      <c r="A49" s="16">
        <v>16</v>
      </c>
      <c r="B49" s="343"/>
      <c r="C49" s="610"/>
      <c r="D49" s="611"/>
      <c r="E49" s="612"/>
      <c r="F49" s="611"/>
      <c r="G49" s="49"/>
      <c r="H49" s="49"/>
      <c r="I49" s="64"/>
    </row>
    <row r="50" spans="1:9">
      <c r="A50" s="7">
        <v>17</v>
      </c>
      <c r="B50" s="396"/>
      <c r="C50" s="613"/>
      <c r="D50" s="614"/>
      <c r="E50" s="615"/>
      <c r="F50" s="614"/>
      <c r="G50" s="43"/>
      <c r="H50" s="106"/>
      <c r="I50" s="64"/>
    </row>
    <row r="51" spans="1:9">
      <c r="A51" s="16">
        <v>18</v>
      </c>
      <c r="B51" s="343"/>
      <c r="C51" s="613"/>
      <c r="D51" s="614"/>
      <c r="E51" s="615"/>
      <c r="F51" s="614"/>
      <c r="G51" s="109"/>
      <c r="H51" s="110"/>
      <c r="I51" s="108"/>
    </row>
    <row r="52" spans="1:9">
      <c r="A52" s="7">
        <v>19</v>
      </c>
      <c r="B52" s="342"/>
      <c r="C52" s="613"/>
      <c r="D52" s="614"/>
      <c r="E52" s="615"/>
      <c r="F52" s="614"/>
      <c r="G52" s="64"/>
      <c r="H52" s="64"/>
      <c r="I52" s="64"/>
    </row>
    <row r="53" spans="1:9">
      <c r="A53" s="7">
        <v>20</v>
      </c>
      <c r="B53" s="342"/>
      <c r="C53" s="616"/>
      <c r="D53" s="617"/>
      <c r="E53" s="618"/>
      <c r="F53" s="617"/>
      <c r="G53" s="81"/>
      <c r="H53" s="64"/>
      <c r="I53" s="64"/>
    </row>
    <row r="54" spans="1:9">
      <c r="A54" s="7">
        <v>21</v>
      </c>
      <c r="B54" s="64"/>
      <c r="C54" s="43"/>
      <c r="D54" s="43"/>
      <c r="E54" s="43"/>
      <c r="F54" s="331"/>
      <c r="G54" s="81"/>
      <c r="H54" s="111"/>
      <c r="I54" s="61"/>
    </row>
    <row r="55" spans="1:9">
      <c r="A55" s="7">
        <v>22</v>
      </c>
      <c r="B55" s="64"/>
      <c r="C55" s="43"/>
      <c r="D55" s="43"/>
      <c r="E55" s="43"/>
      <c r="F55" s="331"/>
      <c r="G55" s="81"/>
      <c r="H55" s="64"/>
      <c r="I55" s="64"/>
    </row>
    <row r="56" spans="1:9">
      <c r="A56" s="7">
        <v>23</v>
      </c>
      <c r="B56" s="701"/>
      <c r="C56" s="701"/>
      <c r="D56" s="701"/>
      <c r="E56" s="701"/>
      <c r="F56" s="701"/>
      <c r="G56" s="81"/>
      <c r="H56" s="64"/>
      <c r="I56" s="64"/>
    </row>
    <row r="57" spans="1:9">
      <c r="A57" s="7">
        <v>24</v>
      </c>
      <c r="B57" s="701"/>
      <c r="C57" s="701"/>
      <c r="D57" s="701"/>
      <c r="E57" s="701"/>
      <c r="F57" s="701"/>
      <c r="G57" s="81"/>
      <c r="H57" s="100"/>
      <c r="I57" s="112"/>
    </row>
    <row r="58" spans="1:9">
      <c r="A58" s="7">
        <v>25</v>
      </c>
      <c r="B58" s="680"/>
      <c r="C58" s="680"/>
      <c r="D58" s="680"/>
      <c r="E58" s="680"/>
      <c r="F58" s="680"/>
      <c r="G58" s="64"/>
      <c r="H58" s="64"/>
      <c r="I58" s="64"/>
    </row>
    <row r="59" spans="1:9">
      <c r="A59" s="11">
        <v>26</v>
      </c>
      <c r="B59" s="675"/>
      <c r="C59" s="675"/>
      <c r="D59" s="675"/>
      <c r="E59" s="675"/>
      <c r="F59" s="675"/>
      <c r="G59" s="675"/>
      <c r="H59" s="675"/>
      <c r="I59" s="64"/>
    </row>
    <row r="60" spans="1:9">
      <c r="A60" s="15">
        <v>27</v>
      </c>
      <c r="B60" s="675"/>
      <c r="C60" s="675"/>
      <c r="D60" s="675"/>
      <c r="E60" s="675"/>
      <c r="F60" s="675"/>
      <c r="G60" s="675"/>
      <c r="H60" s="675"/>
      <c r="I60" s="43"/>
    </row>
    <row r="61" spans="1:9">
      <c r="A61" s="11">
        <v>28</v>
      </c>
      <c r="B61" s="675"/>
      <c r="C61" s="675"/>
      <c r="D61" s="675"/>
      <c r="E61" s="675"/>
      <c r="F61" s="675"/>
      <c r="G61" s="675"/>
      <c r="H61" s="675"/>
      <c r="I61" s="44"/>
    </row>
    <row r="62" spans="1:9" ht="15.75">
      <c r="A62" s="15">
        <v>29</v>
      </c>
      <c r="B62" s="702"/>
      <c r="C62" s="702"/>
      <c r="D62" s="702"/>
      <c r="E62" s="702"/>
      <c r="F62" s="146"/>
      <c r="G62" s="55"/>
      <c r="H62" s="55"/>
      <c r="I62" s="55"/>
    </row>
    <row r="63" spans="1:9" ht="15.75">
      <c r="A63" s="15">
        <v>30</v>
      </c>
      <c r="B63" s="702"/>
      <c r="C63" s="702"/>
      <c r="D63" s="702"/>
      <c r="E63" s="702"/>
      <c r="F63" s="146"/>
      <c r="G63" s="55"/>
      <c r="H63" s="55"/>
      <c r="I63" s="55"/>
    </row>
    <row r="64" spans="1:9" ht="15.75">
      <c r="A64" s="15">
        <v>31</v>
      </c>
      <c r="B64" s="516"/>
      <c r="C64" s="516"/>
      <c r="D64" s="516"/>
      <c r="E64" s="516"/>
      <c r="F64" s="147"/>
      <c r="G64" s="55"/>
      <c r="H64" s="55"/>
      <c r="I64" s="93"/>
    </row>
    <row r="65" spans="1:9" ht="15.75">
      <c r="A65" s="148" t="s">
        <v>283</v>
      </c>
      <c r="B65" s="37" t="s">
        <v>1</v>
      </c>
      <c r="C65" s="37" t="s">
        <v>2</v>
      </c>
      <c r="D65" s="37" t="s">
        <v>3</v>
      </c>
      <c r="E65" s="37" t="s">
        <v>4</v>
      </c>
      <c r="F65" s="37" t="s">
        <v>5</v>
      </c>
      <c r="G65" s="37" t="s">
        <v>6</v>
      </c>
      <c r="H65" s="37" t="s">
        <v>7</v>
      </c>
      <c r="I65" s="39" t="s">
        <v>8</v>
      </c>
    </row>
    <row r="66" spans="1:9" ht="15.75">
      <c r="A66" s="7">
        <v>1</v>
      </c>
      <c r="B66" s="117"/>
      <c r="C66" s="43"/>
      <c r="D66" s="101"/>
      <c r="E66" s="105"/>
      <c r="F66" s="118"/>
      <c r="G66" s="97"/>
      <c r="H66" s="64"/>
      <c r="I66" s="43"/>
    </row>
    <row r="67" spans="1:9" ht="15.75">
      <c r="A67" s="7">
        <v>2</v>
      </c>
      <c r="B67" s="64"/>
      <c r="C67" s="74"/>
      <c r="D67" s="101"/>
      <c r="E67" s="105"/>
      <c r="F67" s="119"/>
      <c r="G67" s="64"/>
      <c r="H67" s="74"/>
      <c r="I67" s="64"/>
    </row>
    <row r="68" spans="1:9">
      <c r="A68" s="7">
        <v>3</v>
      </c>
      <c r="B68" s="120"/>
      <c r="C68" s="120"/>
      <c r="D68" s="74"/>
      <c r="E68" s="74"/>
      <c r="F68" s="42"/>
      <c r="G68" s="64"/>
      <c r="H68" s="64"/>
      <c r="I68" s="44"/>
    </row>
    <row r="69" spans="1:9">
      <c r="A69" s="7">
        <v>4</v>
      </c>
      <c r="B69" s="120"/>
      <c r="C69" s="120"/>
      <c r="D69" s="74"/>
      <c r="E69" s="87"/>
      <c r="F69" s="93"/>
      <c r="G69" s="45"/>
      <c r="H69" s="92"/>
      <c r="I69" s="93"/>
    </row>
    <row r="70" spans="1:9">
      <c r="A70" s="7">
        <v>5</v>
      </c>
      <c r="B70" s="339"/>
      <c r="C70" s="339"/>
      <c r="D70" s="339"/>
      <c r="E70" s="339"/>
      <c r="F70" s="339"/>
      <c r="G70" s="48"/>
      <c r="H70" s="43"/>
      <c r="I70" s="123"/>
    </row>
    <row r="71" spans="1:9">
      <c r="A71" s="7">
        <v>6</v>
      </c>
      <c r="B71" s="339"/>
      <c r="C71" s="339"/>
      <c r="D71" s="339"/>
      <c r="E71" s="339"/>
      <c r="F71" s="339"/>
      <c r="G71" s="81"/>
      <c r="H71" s="43"/>
      <c r="I71" s="43"/>
    </row>
    <row r="72" spans="1:9">
      <c r="A72" s="7">
        <v>7</v>
      </c>
      <c r="B72" s="339"/>
      <c r="C72" s="339"/>
      <c r="D72" s="339"/>
      <c r="E72" s="339"/>
      <c r="F72" s="339"/>
      <c r="G72" s="127"/>
      <c r="H72" s="64"/>
      <c r="I72" s="64"/>
    </row>
    <row r="73" spans="1:9">
      <c r="A73" s="7">
        <v>8</v>
      </c>
      <c r="B73" s="339"/>
      <c r="C73" s="339"/>
      <c r="D73" s="339"/>
      <c r="E73" s="339"/>
      <c r="F73" s="339"/>
      <c r="G73" s="64"/>
      <c r="H73" s="64"/>
      <c r="I73" s="64"/>
    </row>
    <row r="74" spans="1:9">
      <c r="A74" s="7">
        <v>9</v>
      </c>
      <c r="B74" s="97"/>
      <c r="C74" s="97"/>
      <c r="D74" s="163"/>
      <c r="E74" s="163"/>
      <c r="F74" s="163"/>
      <c r="G74" s="150"/>
      <c r="H74" s="150"/>
      <c r="I74" s="64"/>
    </row>
    <row r="75" spans="1:9">
      <c r="A75" s="7">
        <v>10</v>
      </c>
      <c r="B75" s="128"/>
      <c r="C75" s="64"/>
      <c r="D75" s="150"/>
      <c r="E75" s="150"/>
      <c r="F75" s="150"/>
      <c r="G75" s="150"/>
      <c r="H75" s="43"/>
      <c r="I75" s="64"/>
    </row>
    <row r="76" spans="1:9" ht="15.75">
      <c r="A76" s="7">
        <v>11</v>
      </c>
      <c r="B76" s="84"/>
      <c r="C76" s="43"/>
      <c r="D76" s="339"/>
      <c r="E76" s="131"/>
      <c r="F76" s="461"/>
      <c r="G76" s="129"/>
      <c r="H76" s="43"/>
      <c r="I76" s="64"/>
    </row>
    <row r="77" spans="1:9" ht="15.75">
      <c r="A77" s="7">
        <v>12</v>
      </c>
      <c r="B77" s="84"/>
      <c r="C77" s="43"/>
      <c r="D77" s="43"/>
      <c r="E77" s="84"/>
      <c r="F77" s="461"/>
      <c r="G77" s="64"/>
      <c r="H77" s="43"/>
      <c r="I77" s="43"/>
    </row>
    <row r="78" spans="1:9" ht="15.75">
      <c r="A78" s="7">
        <v>13</v>
      </c>
      <c r="B78" s="43"/>
      <c r="C78" s="621"/>
      <c r="D78" s="547"/>
      <c r="E78" s="132"/>
      <c r="F78" s="461"/>
      <c r="G78" s="91"/>
      <c r="H78" s="131"/>
      <c r="I78" s="43"/>
    </row>
    <row r="79" spans="1:9" ht="15.75">
      <c r="A79" s="7">
        <v>14</v>
      </c>
      <c r="B79" s="43"/>
      <c r="C79" s="621"/>
      <c r="D79" s="547"/>
      <c r="E79" s="56"/>
      <c r="F79" s="678"/>
      <c r="G79" s="131"/>
      <c r="H79" s="43"/>
      <c r="I79" s="43"/>
    </row>
    <row r="80" spans="1:9" ht="15.75">
      <c r="A80" s="7">
        <v>15</v>
      </c>
      <c r="B80" s="85"/>
      <c r="C80" s="532"/>
      <c r="D80" s="458"/>
      <c r="E80" s="458"/>
      <c r="F80" s="693"/>
      <c r="G80" s="64"/>
      <c r="H80" s="134"/>
      <c r="I80" s="43"/>
    </row>
    <row r="81" spans="1:9" ht="15.75">
      <c r="A81" s="7">
        <v>16</v>
      </c>
      <c r="B81" s="85"/>
      <c r="C81" s="532"/>
      <c r="D81" s="150"/>
      <c r="E81" s="458"/>
      <c r="F81" s="693"/>
      <c r="G81" s="134"/>
      <c r="H81" s="134"/>
      <c r="I81" s="64"/>
    </row>
    <row r="82" spans="1:9" ht="15.75">
      <c r="A82" s="7">
        <v>17</v>
      </c>
      <c r="B82" s="85"/>
      <c r="C82" s="532"/>
      <c r="D82" s="85"/>
      <c r="E82" s="85"/>
      <c r="F82" s="694"/>
      <c r="G82" s="134"/>
      <c r="H82" s="136"/>
      <c r="I82" s="113"/>
    </row>
    <row r="83" spans="1:9" ht="15.75">
      <c r="A83" s="7">
        <v>18</v>
      </c>
      <c r="B83" s="67"/>
      <c r="C83" s="532"/>
      <c r="D83" s="150"/>
      <c r="E83" s="637"/>
      <c r="F83" s="693"/>
      <c r="G83" s="64"/>
      <c r="H83" s="43"/>
      <c r="I83" s="43"/>
    </row>
    <row r="84" spans="1:9" ht="15.75">
      <c r="A84" s="7">
        <v>19</v>
      </c>
      <c r="B84" s="399"/>
      <c r="C84" s="621"/>
      <c r="D84" s="150"/>
      <c r="E84" s="339"/>
      <c r="F84" s="678"/>
      <c r="G84" s="150"/>
      <c r="H84" s="43"/>
      <c r="I84" s="43"/>
    </row>
    <row r="85" spans="1:9" ht="15.75">
      <c r="A85" s="7">
        <v>20</v>
      </c>
      <c r="B85" s="399"/>
      <c r="C85" s="547"/>
      <c r="D85" s="339"/>
      <c r="E85" s="339"/>
      <c r="F85" s="678"/>
      <c r="G85" s="150"/>
      <c r="H85" s="43"/>
      <c r="I85" s="43"/>
    </row>
    <row r="86" spans="1:9" ht="15.75">
      <c r="A86" s="7">
        <v>21</v>
      </c>
      <c r="B86" s="711"/>
      <c r="C86" s="621"/>
      <c r="D86" s="777"/>
      <c r="E86" s="339"/>
      <c r="F86" s="339"/>
      <c r="G86" s="64"/>
      <c r="H86" s="64"/>
      <c r="I86" s="81"/>
    </row>
    <row r="87" spans="1:9">
      <c r="A87" s="7">
        <v>22</v>
      </c>
      <c r="B87" s="137"/>
      <c r="C87" s="137"/>
      <c r="D87" s="794"/>
      <c r="E87" s="137"/>
      <c r="F87" s="137"/>
      <c r="G87" s="64"/>
      <c r="H87" s="64"/>
      <c r="I87" s="43"/>
    </row>
    <row r="88" spans="1:9">
      <c r="A88" s="16">
        <v>23</v>
      </c>
      <c r="B88" s="138"/>
      <c r="C88" s="139"/>
      <c r="D88" s="140"/>
      <c r="E88" s="795"/>
      <c r="F88" s="325"/>
      <c r="G88" s="325"/>
      <c r="H88" s="64"/>
      <c r="I88" s="64"/>
    </row>
    <row r="89" spans="1:9">
      <c r="A89" s="16">
        <v>24</v>
      </c>
      <c r="B89" s="325"/>
      <c r="C89" s="796"/>
      <c r="D89" s="429"/>
      <c r="E89" s="325"/>
      <c r="F89" s="395"/>
      <c r="G89" s="395"/>
      <c r="H89" s="64"/>
      <c r="I89" s="64"/>
    </row>
    <row r="90" spans="1:9">
      <c r="A90" s="7">
        <v>25</v>
      </c>
      <c r="B90" s="43"/>
      <c r="C90" s="54"/>
      <c r="D90" s="797"/>
      <c r="E90" s="798"/>
      <c r="F90" s="54"/>
      <c r="G90" s="711"/>
      <c r="H90" s="170"/>
      <c r="I90" s="64"/>
    </row>
    <row r="91" spans="1:9">
      <c r="A91" s="7">
        <v>26</v>
      </c>
      <c r="B91" s="43"/>
      <c r="C91" s="54"/>
      <c r="D91" s="492"/>
      <c r="E91" s="492"/>
      <c r="F91" s="492"/>
      <c r="G91" s="711"/>
      <c r="H91" s="411"/>
      <c r="I91" s="593"/>
    </row>
    <row r="92" spans="1:9">
      <c r="A92" s="7">
        <v>27</v>
      </c>
      <c r="B92" s="43"/>
      <c r="C92" s="43"/>
      <c r="D92" s="492"/>
      <c r="E92" s="492"/>
      <c r="F92" s="492"/>
      <c r="G92" s="711"/>
      <c r="H92" s="411"/>
      <c r="I92" s="411"/>
    </row>
    <row r="93" spans="1:9">
      <c r="A93" s="7">
        <v>28</v>
      </c>
      <c r="B93" s="131"/>
      <c r="C93" s="131"/>
      <c r="D93" s="709"/>
      <c r="E93" s="131"/>
      <c r="F93" s="131"/>
      <c r="G93" s="64"/>
      <c r="H93" s="64"/>
      <c r="I93" s="144"/>
    </row>
    <row r="94" spans="1:9">
      <c r="A94" s="7">
        <v>29</v>
      </c>
      <c r="B94" s="131"/>
      <c r="C94" s="131"/>
      <c r="D94" s="709"/>
      <c r="E94" s="131"/>
      <c r="F94" s="131"/>
      <c r="G94" s="64"/>
      <c r="H94" s="64"/>
      <c r="I94" s="144"/>
    </row>
    <row r="95" spans="1:9">
      <c r="A95" s="7">
        <v>30</v>
      </c>
      <c r="B95" s="43"/>
      <c r="C95" s="43"/>
      <c r="D95" s="43"/>
      <c r="E95" s="340"/>
      <c r="F95" s="340"/>
      <c r="G95" s="64"/>
      <c r="H95" s="64"/>
      <c r="I95" s="144"/>
    </row>
    <row r="98" spans="1:8">
      <c r="H98" s="223"/>
    </row>
    <row r="99" spans="1:8">
      <c r="A99" s="224"/>
      <c r="B99" s="224"/>
      <c r="C99" s="224"/>
      <c r="D99" s="224"/>
      <c r="E99" s="224"/>
      <c r="F99" s="224"/>
      <c r="G99" s="1033"/>
      <c r="H99" s="1034"/>
    </row>
    <row r="100" spans="1:8">
      <c r="A100" s="1201" t="s">
        <v>341</v>
      </c>
      <c r="B100" s="1201"/>
      <c r="C100" s="1201"/>
      <c r="D100" s="1201"/>
      <c r="E100" s="1201"/>
      <c r="G100" s="176"/>
      <c r="H100" s="1034"/>
    </row>
    <row r="101" spans="1:8">
      <c r="G101" s="175"/>
      <c r="H101" s="1034"/>
    </row>
    <row r="102" spans="1:8" ht="15.75">
      <c r="A102" s="177"/>
      <c r="B102" s="177"/>
      <c r="C102" s="178">
        <v>2019</v>
      </c>
      <c r="D102" s="179">
        <v>2022</v>
      </c>
      <c r="E102" s="180">
        <v>2023</v>
      </c>
      <c r="F102" s="265">
        <v>2024</v>
      </c>
      <c r="G102" s="265">
        <v>2025</v>
      </c>
      <c r="H102" s="1035">
        <v>2026</v>
      </c>
    </row>
    <row r="103" spans="1:8">
      <c r="A103" t="s">
        <v>118</v>
      </c>
      <c r="C103" s="291">
        <v>4508.26</v>
      </c>
      <c r="D103" s="183">
        <v>3797.52</v>
      </c>
      <c r="E103" s="184">
        <v>3856.2</v>
      </c>
      <c r="F103" s="277">
        <v>3421.49</v>
      </c>
      <c r="G103" s="662">
        <v>3863.64</v>
      </c>
      <c r="H103" s="215"/>
    </row>
    <row r="104" spans="1:8">
      <c r="A104" t="s">
        <v>119</v>
      </c>
      <c r="C104" s="291">
        <v>0</v>
      </c>
      <c r="D104" s="183">
        <v>0</v>
      </c>
      <c r="E104" s="184">
        <v>66.12</v>
      </c>
      <c r="F104" s="277">
        <v>289.26</v>
      </c>
      <c r="G104" s="663">
        <v>13.22</v>
      </c>
      <c r="H104" s="215"/>
    </row>
    <row r="105" spans="1:8">
      <c r="A105" t="s">
        <v>121</v>
      </c>
      <c r="C105" s="292">
        <v>19532.73</v>
      </c>
      <c r="D105" s="183">
        <v>12900.91</v>
      </c>
      <c r="E105" s="184">
        <v>18545.27</v>
      </c>
      <c r="F105" s="277">
        <v>13784.38</v>
      </c>
      <c r="G105" s="663">
        <v>0</v>
      </c>
      <c r="H105" s="215"/>
    </row>
    <row r="106" spans="1:8">
      <c r="A106" t="s">
        <v>123</v>
      </c>
      <c r="C106" s="291">
        <v>4765.45</v>
      </c>
      <c r="D106" s="183">
        <v>3585.45</v>
      </c>
      <c r="E106" s="184">
        <v>9041</v>
      </c>
      <c r="F106" s="277">
        <v>4568.18</v>
      </c>
      <c r="G106" s="663">
        <v>0</v>
      </c>
      <c r="H106" s="215"/>
    </row>
    <row r="107" spans="1:8">
      <c r="A107" t="s">
        <v>125</v>
      </c>
      <c r="C107" s="291">
        <v>16195.14</v>
      </c>
      <c r="D107" s="183">
        <v>4101.8599999999997</v>
      </c>
      <c r="E107" s="184">
        <v>3415.11</v>
      </c>
      <c r="F107" s="277">
        <v>5613.23</v>
      </c>
      <c r="G107" s="663">
        <v>1003.64</v>
      </c>
      <c r="H107" s="215"/>
    </row>
    <row r="108" spans="1:8">
      <c r="A108" t="s">
        <v>127</v>
      </c>
      <c r="C108" s="291">
        <v>54.55</v>
      </c>
      <c r="D108" s="183">
        <v>272.73</v>
      </c>
      <c r="E108" s="184">
        <v>481.82</v>
      </c>
      <c r="F108" s="277">
        <v>407.27</v>
      </c>
      <c r="G108" s="663">
        <v>582.73</v>
      </c>
      <c r="H108" s="215"/>
    </row>
    <row r="109" spans="1:8">
      <c r="A109" t="s">
        <v>129</v>
      </c>
      <c r="C109" s="291">
        <v>5169.51</v>
      </c>
      <c r="D109" s="183">
        <v>2212.88</v>
      </c>
      <c r="E109" s="184">
        <v>2264.29</v>
      </c>
      <c r="F109" s="277">
        <v>2423.31</v>
      </c>
      <c r="G109" s="663">
        <v>2184.15</v>
      </c>
      <c r="H109" s="215"/>
    </row>
    <row r="110" spans="1:8">
      <c r="A110" t="s">
        <v>131</v>
      </c>
      <c r="C110" s="291">
        <v>43446.68</v>
      </c>
      <c r="D110" s="183">
        <v>47619.9</v>
      </c>
      <c r="E110" s="184">
        <v>58286.29</v>
      </c>
      <c r="F110" s="277">
        <v>52953.29</v>
      </c>
      <c r="G110" s="662">
        <v>49488.51</v>
      </c>
      <c r="H110" s="215"/>
    </row>
    <row r="111" spans="1:8">
      <c r="A111" t="s">
        <v>133</v>
      </c>
      <c r="C111" s="291">
        <v>1852.27</v>
      </c>
      <c r="D111" s="183">
        <v>2503.09</v>
      </c>
      <c r="E111" s="184">
        <v>2940</v>
      </c>
      <c r="F111" s="277">
        <v>2231.66</v>
      </c>
      <c r="G111" s="662">
        <v>2377.63</v>
      </c>
      <c r="H111" s="215"/>
    </row>
    <row r="112" spans="1:8">
      <c r="A112" t="s">
        <v>8</v>
      </c>
      <c r="C112" s="291">
        <v>5484.81</v>
      </c>
      <c r="D112" s="183">
        <v>1792.91</v>
      </c>
      <c r="E112" s="184">
        <v>2100.64</v>
      </c>
      <c r="F112" s="277">
        <v>1736.84</v>
      </c>
      <c r="G112" s="662">
        <v>6762.44</v>
      </c>
      <c r="H112" s="215"/>
    </row>
    <row r="113" spans="1:8">
      <c r="A113" s="177"/>
      <c r="B113" s="177"/>
      <c r="D113" s="200"/>
      <c r="E113" s="201"/>
      <c r="F113" s="278"/>
      <c r="G113" s="662"/>
      <c r="H113" s="215"/>
    </row>
    <row r="114" spans="1:8">
      <c r="B114" s="294" t="s">
        <v>137</v>
      </c>
      <c r="C114" s="295">
        <f>C103+C104+C105+C106+C107+C108+C109+C110+C111+C112</f>
        <v>101009.40000000001</v>
      </c>
      <c r="D114" s="203">
        <f>SUM(D103:D112)</f>
        <v>78787.25</v>
      </c>
      <c r="E114" s="204">
        <f>SUM(E103:E112)</f>
        <v>100996.74</v>
      </c>
      <c r="F114" s="286">
        <f>SUM(F103:F112)</f>
        <v>87428.91</v>
      </c>
      <c r="G114" s="286">
        <f>SUM(G103:G112)</f>
        <v>66275.959999999992</v>
      </c>
      <c r="H114" s="858"/>
    </row>
    <row r="115" spans="1:8">
      <c r="D115" s="206"/>
    </row>
    <row r="116" spans="1:8">
      <c r="C116" s="239" t="s">
        <v>134</v>
      </c>
      <c r="D116" s="296">
        <f>G114-C114</f>
        <v>-34733.440000000017</v>
      </c>
    </row>
    <row r="117" spans="1:8">
      <c r="C117" s="241" t="s">
        <v>138</v>
      </c>
      <c r="D117" s="297">
        <f>G114-D114</f>
        <v>-12511.290000000008</v>
      </c>
    </row>
    <row r="118" spans="1:8">
      <c r="C118" s="240" t="s">
        <v>139</v>
      </c>
      <c r="D118" s="645">
        <f>G114-E114</f>
        <v>-34720.780000000013</v>
      </c>
    </row>
    <row r="119" spans="1:8">
      <c r="C119" s="213" t="s">
        <v>140</v>
      </c>
      <c r="D119" s="298">
        <f>G114-F114</f>
        <v>-21152.950000000012</v>
      </c>
    </row>
    <row r="120" spans="1:8" ht="15.75">
      <c r="C120" s="844" t="s">
        <v>490</v>
      </c>
      <c r="D120" s="859">
        <f>H114-G114</f>
        <v>-66275.959999999992</v>
      </c>
    </row>
    <row r="122" spans="1:8">
      <c r="A122" s="256"/>
      <c r="B122" s="256"/>
      <c r="C122" s="256"/>
      <c r="D122" s="256"/>
      <c r="E122" s="256"/>
      <c r="F122" s="256"/>
      <c r="G122" s="256"/>
      <c r="H122" s="223"/>
    </row>
    <row r="123" spans="1:8">
      <c r="F123" s="224"/>
      <c r="H123" s="1034"/>
    </row>
    <row r="124" spans="1:8">
      <c r="A124" s="1201" t="s">
        <v>343</v>
      </c>
      <c r="B124" s="1201"/>
      <c r="C124" s="1201"/>
      <c r="D124" s="1201"/>
      <c r="E124" s="1201"/>
      <c r="H124" s="1034"/>
    </row>
    <row r="125" spans="1:8">
      <c r="H125" s="1034"/>
    </row>
    <row r="126" spans="1:8" ht="15.75">
      <c r="A126" s="177"/>
      <c r="B126" s="177"/>
      <c r="C126" s="178">
        <v>2019</v>
      </c>
      <c r="D126" s="179">
        <v>2022</v>
      </c>
      <c r="E126" s="180">
        <v>2023</v>
      </c>
      <c r="F126" s="265">
        <v>2024</v>
      </c>
      <c r="G126" s="265">
        <v>2025</v>
      </c>
      <c r="H126" s="1035">
        <v>2026</v>
      </c>
    </row>
    <row r="127" spans="1:8">
      <c r="A127" t="s">
        <v>118</v>
      </c>
      <c r="C127" s="291">
        <v>958.68</v>
      </c>
      <c r="D127" s="183">
        <v>450.41</v>
      </c>
      <c r="E127" s="316">
        <v>1490.91</v>
      </c>
      <c r="F127" s="277">
        <v>0</v>
      </c>
      <c r="G127" s="488">
        <v>615.70000000000005</v>
      </c>
      <c r="H127" s="215"/>
    </row>
    <row r="128" spans="1:8">
      <c r="A128" t="s">
        <v>119</v>
      </c>
      <c r="C128" s="291">
        <v>0</v>
      </c>
      <c r="D128" s="183">
        <v>0</v>
      </c>
      <c r="E128" s="316">
        <v>0</v>
      </c>
      <c r="F128" s="277">
        <v>0</v>
      </c>
      <c r="G128" s="488">
        <v>0</v>
      </c>
      <c r="H128" s="215"/>
    </row>
    <row r="129" spans="1:8">
      <c r="A129" t="s">
        <v>121</v>
      </c>
      <c r="C129" s="291">
        <v>27473.18</v>
      </c>
      <c r="D129" s="183">
        <v>11637.73</v>
      </c>
      <c r="E129" s="316">
        <v>16523.349999999999</v>
      </c>
      <c r="F129" s="277">
        <v>16077.89</v>
      </c>
      <c r="G129" s="488">
        <v>0</v>
      </c>
      <c r="H129" s="215"/>
    </row>
    <row r="130" spans="1:8">
      <c r="A130" t="s">
        <v>123</v>
      </c>
      <c r="C130" s="291">
        <v>2052.73</v>
      </c>
      <c r="D130" s="183">
        <v>3923.64</v>
      </c>
      <c r="E130" s="316">
        <v>0</v>
      </c>
      <c r="F130" s="277">
        <v>3675.45</v>
      </c>
      <c r="G130" s="488">
        <v>0</v>
      </c>
      <c r="H130" s="215"/>
    </row>
    <row r="131" spans="1:8">
      <c r="A131" t="s">
        <v>125</v>
      </c>
      <c r="C131" s="291">
        <v>1330.91</v>
      </c>
      <c r="D131" s="183">
        <v>2886.32</v>
      </c>
      <c r="E131" s="316">
        <v>4489.42</v>
      </c>
      <c r="F131" s="277">
        <v>1670.52</v>
      </c>
      <c r="G131" s="488">
        <v>640.82000000000005</v>
      </c>
      <c r="H131" s="215"/>
    </row>
    <row r="132" spans="1:8">
      <c r="A132" t="s">
        <v>127</v>
      </c>
      <c r="C132" s="291">
        <v>0</v>
      </c>
      <c r="D132" s="183">
        <v>86.36</v>
      </c>
      <c r="E132" s="316">
        <v>172.73</v>
      </c>
      <c r="F132" s="277">
        <v>44.55</v>
      </c>
      <c r="G132" s="488">
        <v>0</v>
      </c>
      <c r="H132" s="215"/>
    </row>
    <row r="133" spans="1:8">
      <c r="A133" t="s">
        <v>129</v>
      </c>
      <c r="C133" s="291">
        <v>3481.19</v>
      </c>
      <c r="D133" s="183">
        <v>1845.46</v>
      </c>
      <c r="E133" s="316">
        <v>1551.45</v>
      </c>
      <c r="F133" s="277">
        <v>1403.17</v>
      </c>
      <c r="G133" s="488">
        <v>1217.98</v>
      </c>
      <c r="H133" s="215"/>
    </row>
    <row r="134" spans="1:8">
      <c r="A134" t="s">
        <v>131</v>
      </c>
      <c r="C134" s="291">
        <v>42871.01</v>
      </c>
      <c r="D134" s="183">
        <v>51323.24</v>
      </c>
      <c r="E134" s="316">
        <v>49258.15</v>
      </c>
      <c r="F134" s="277">
        <v>54425.61</v>
      </c>
      <c r="G134" s="488">
        <v>51895.48</v>
      </c>
      <c r="H134" s="215"/>
    </row>
    <row r="135" spans="1:8">
      <c r="A135" t="s">
        <v>133</v>
      </c>
      <c r="C135" s="291">
        <v>1402.27</v>
      </c>
      <c r="D135" s="183">
        <v>2088.64</v>
      </c>
      <c r="E135" s="316">
        <v>2217.27</v>
      </c>
      <c r="F135" s="277">
        <v>1987.27</v>
      </c>
      <c r="G135" s="488">
        <v>1901.61</v>
      </c>
      <c r="H135" s="215"/>
    </row>
    <row r="136" spans="1:8">
      <c r="A136" t="s">
        <v>8</v>
      </c>
      <c r="C136" s="291">
        <v>5269.55</v>
      </c>
      <c r="D136" s="183">
        <v>1973.55</v>
      </c>
      <c r="E136" s="316">
        <v>2284.4</v>
      </c>
      <c r="F136" s="277">
        <v>1775.77</v>
      </c>
      <c r="G136" s="488">
        <v>6649.92</v>
      </c>
      <c r="H136" s="215"/>
    </row>
    <row r="137" spans="1:8">
      <c r="A137" s="177"/>
      <c r="B137" s="177"/>
      <c r="D137" s="200"/>
      <c r="E137" s="316" t="s">
        <v>64</v>
      </c>
      <c r="F137" s="278"/>
      <c r="H137" s="215"/>
    </row>
    <row r="138" spans="1:8">
      <c r="B138" s="294" t="s">
        <v>137</v>
      </c>
      <c r="C138" s="317">
        <f>C127+C128+C129+C130+C131+C132+C134+C133+C135+C136</f>
        <v>84839.520000000019</v>
      </c>
      <c r="D138" s="203">
        <f>SUM(D127:D136)</f>
        <v>76215.350000000006</v>
      </c>
      <c r="E138" s="204">
        <f>SUM(E127:E136)</f>
        <v>77987.680000000008</v>
      </c>
      <c r="F138" s="286">
        <f>SUM(F127:F136)</f>
        <v>81060.23000000001</v>
      </c>
      <c r="G138" s="286">
        <f>SUM(G127:G136)</f>
        <v>62921.51</v>
      </c>
      <c r="H138" s="858"/>
    </row>
    <row r="139" spans="1:8">
      <c r="D139" s="206"/>
    </row>
    <row r="140" spans="1:8">
      <c r="C140" s="239" t="s">
        <v>134</v>
      </c>
      <c r="D140" s="296">
        <f>G138-C138</f>
        <v>-21918.010000000017</v>
      </c>
    </row>
    <row r="141" spans="1:8">
      <c r="C141" s="241" t="s">
        <v>138</v>
      </c>
      <c r="D141" s="318">
        <f>G138-D138</f>
        <v>-13293.840000000004</v>
      </c>
    </row>
    <row r="142" spans="1:8">
      <c r="C142" s="240" t="s">
        <v>139</v>
      </c>
      <c r="D142" s="682">
        <f>G138-E138</f>
        <v>-15066.170000000006</v>
      </c>
    </row>
    <row r="143" spans="1:8">
      <c r="C143" s="213" t="s">
        <v>140</v>
      </c>
      <c r="D143" s="683">
        <f>G138-F138</f>
        <v>-18138.720000000008</v>
      </c>
    </row>
    <row r="144" spans="1:8" ht="15.75">
      <c r="C144" s="844" t="s">
        <v>490</v>
      </c>
      <c r="D144" s="859">
        <f>H138-G138</f>
        <v>-62921.51</v>
      </c>
    </row>
    <row r="145" spans="1:8">
      <c r="A145" s="256"/>
      <c r="B145" s="256"/>
      <c r="C145" s="256"/>
      <c r="D145" s="256"/>
      <c r="E145" s="256"/>
      <c r="F145" s="256"/>
      <c r="G145" s="256"/>
      <c r="H145" s="223"/>
    </row>
    <row r="146" spans="1:8">
      <c r="F146" s="224"/>
      <c r="H146" s="1034"/>
    </row>
    <row r="147" spans="1:8">
      <c r="A147" s="1201" t="s">
        <v>345</v>
      </c>
      <c r="B147" s="1201"/>
      <c r="C147" s="1201"/>
      <c r="D147" s="1201"/>
      <c r="E147" s="1201"/>
      <c r="H147" s="1034"/>
    </row>
    <row r="148" spans="1:8">
      <c r="H148" s="1034"/>
    </row>
    <row r="149" spans="1:8" ht="15.75">
      <c r="A149" s="177"/>
      <c r="B149" s="177"/>
      <c r="C149" s="178">
        <v>2019</v>
      </c>
      <c r="D149" s="179">
        <v>2022</v>
      </c>
      <c r="E149" s="180">
        <v>2023</v>
      </c>
      <c r="F149" s="265">
        <v>2024</v>
      </c>
      <c r="G149" s="265">
        <v>2025</v>
      </c>
      <c r="H149" s="1035">
        <v>2026</v>
      </c>
    </row>
    <row r="150" spans="1:8">
      <c r="A150" t="s">
        <v>118</v>
      </c>
      <c r="C150" s="291">
        <v>4359.21</v>
      </c>
      <c r="D150" s="183">
        <v>4177.6899999999996</v>
      </c>
      <c r="E150" s="316">
        <v>4760.97</v>
      </c>
      <c r="F150" s="277">
        <v>4991.74</v>
      </c>
      <c r="G150" s="681">
        <v>5784.5</v>
      </c>
      <c r="H150" s="215"/>
    </row>
    <row r="151" spans="1:8">
      <c r="A151" t="s">
        <v>119</v>
      </c>
      <c r="C151" s="291">
        <v>157.02000000000001</v>
      </c>
      <c r="D151" s="183">
        <v>123.97</v>
      </c>
      <c r="E151" s="316">
        <v>247.93</v>
      </c>
      <c r="F151" s="277">
        <v>220.04</v>
      </c>
      <c r="G151" s="681">
        <v>1277.47</v>
      </c>
      <c r="H151" s="215"/>
    </row>
    <row r="152" spans="1:8">
      <c r="A152" t="s">
        <v>121</v>
      </c>
      <c r="C152" s="291">
        <v>16193.64</v>
      </c>
      <c r="D152" s="183">
        <v>10205.27</v>
      </c>
      <c r="E152" s="316">
        <v>11732.95</v>
      </c>
      <c r="F152" s="277">
        <v>11125.32</v>
      </c>
      <c r="G152" s="681">
        <v>0</v>
      </c>
      <c r="H152" s="215"/>
    </row>
    <row r="153" spans="1:8">
      <c r="A153" t="s">
        <v>123</v>
      </c>
      <c r="C153" s="291">
        <v>1363.64</v>
      </c>
      <c r="D153" s="183">
        <v>4064.73</v>
      </c>
      <c r="E153" s="316">
        <v>2832.73</v>
      </c>
      <c r="F153" s="277">
        <v>0</v>
      </c>
      <c r="G153" s="681">
        <v>3417.73</v>
      </c>
      <c r="H153" s="215"/>
    </row>
    <row r="154" spans="1:8">
      <c r="A154" t="s">
        <v>125</v>
      </c>
      <c r="C154" s="291">
        <v>3420.6</v>
      </c>
      <c r="D154" s="183">
        <v>10516.18</v>
      </c>
      <c r="E154" s="316">
        <v>16280.79</v>
      </c>
      <c r="F154" s="277">
        <v>14217.97</v>
      </c>
      <c r="G154" s="681">
        <v>16189.1</v>
      </c>
      <c r="H154" s="215"/>
    </row>
    <row r="155" spans="1:8">
      <c r="A155" t="s">
        <v>127</v>
      </c>
      <c r="C155" s="291">
        <v>81.819999999999993</v>
      </c>
      <c r="D155" s="183">
        <v>199.09</v>
      </c>
      <c r="E155" s="316">
        <v>1107.95</v>
      </c>
      <c r="F155" s="277">
        <v>208.73</v>
      </c>
      <c r="G155" s="681">
        <v>3238.41</v>
      </c>
      <c r="H155" s="215"/>
    </row>
    <row r="156" spans="1:8">
      <c r="A156" t="s">
        <v>129</v>
      </c>
      <c r="C156" s="291">
        <v>3969.28</v>
      </c>
      <c r="D156" s="183">
        <v>1924.53</v>
      </c>
      <c r="E156" s="316">
        <v>1911.09</v>
      </c>
      <c r="F156" s="277">
        <v>2010.74</v>
      </c>
      <c r="G156" s="681">
        <v>1480.4</v>
      </c>
      <c r="H156" s="215"/>
    </row>
    <row r="157" spans="1:8">
      <c r="A157" t="s">
        <v>131</v>
      </c>
      <c r="C157" s="291">
        <v>38561.480000000003</v>
      </c>
      <c r="D157" s="183">
        <v>48279.1</v>
      </c>
      <c r="E157" s="316">
        <v>64007.83</v>
      </c>
      <c r="F157" s="277">
        <v>47616.19</v>
      </c>
      <c r="G157" s="681">
        <v>48303.35</v>
      </c>
      <c r="H157" s="215"/>
    </row>
    <row r="158" spans="1:8">
      <c r="A158" t="s">
        <v>133</v>
      </c>
      <c r="C158" s="291">
        <v>1765</v>
      </c>
      <c r="D158" s="183">
        <v>2163.64</v>
      </c>
      <c r="E158" s="316">
        <v>2127.27</v>
      </c>
      <c r="F158" s="277">
        <v>1721.66</v>
      </c>
      <c r="G158" s="681">
        <v>1716.83</v>
      </c>
      <c r="H158" s="215"/>
    </row>
    <row r="159" spans="1:8">
      <c r="A159" t="s">
        <v>8</v>
      </c>
      <c r="C159" s="319">
        <v>5768.32</v>
      </c>
      <c r="D159" s="183">
        <v>1924.64</v>
      </c>
      <c r="E159" s="316">
        <v>1916.34</v>
      </c>
      <c r="F159" s="277">
        <v>1730.07</v>
      </c>
      <c r="G159" s="681">
        <v>8519.11</v>
      </c>
      <c r="H159" s="215"/>
    </row>
    <row r="160" spans="1:8">
      <c r="A160" s="177"/>
      <c r="B160" s="177"/>
      <c r="C160" s="320"/>
      <c r="D160" s="200"/>
      <c r="E160" s="201"/>
      <c r="F160" s="278"/>
      <c r="H160" s="215"/>
    </row>
    <row r="161" spans="1:8">
      <c r="B161" s="294" t="s">
        <v>137</v>
      </c>
      <c r="C161" s="317">
        <f>C150+C151+C152+C154+C153+C155+C156+C157+C158+C159</f>
        <v>75640.010000000009</v>
      </c>
      <c r="D161" s="203">
        <f>SUM(D150:D159)</f>
        <v>83578.84</v>
      </c>
      <c r="E161" s="204">
        <f>SUM(E150:E159)</f>
        <v>106925.84999999999</v>
      </c>
      <c r="F161" s="286">
        <f>SUM(F150:F159)</f>
        <v>83842.460000000021</v>
      </c>
      <c r="G161" s="286">
        <f>SUM(G150:G159)</f>
        <v>89926.900000000009</v>
      </c>
      <c r="H161" s="858"/>
    </row>
    <row r="162" spans="1:8">
      <c r="D162" s="206"/>
    </row>
    <row r="163" spans="1:8">
      <c r="C163" s="239" t="s">
        <v>134</v>
      </c>
      <c r="D163" s="236">
        <f>G161-C161</f>
        <v>14286.89</v>
      </c>
    </row>
    <row r="164" spans="1:8">
      <c r="A164" s="321"/>
      <c r="B164" s="321"/>
      <c r="C164" s="241" t="s">
        <v>138</v>
      </c>
      <c r="D164" s="684">
        <f>G161-D161</f>
        <v>6348.0600000000122</v>
      </c>
      <c r="E164" s="321"/>
      <c r="F164" s="321"/>
    </row>
    <row r="165" spans="1:8">
      <c r="C165" s="240" t="s">
        <v>139</v>
      </c>
      <c r="D165" s="645">
        <f>G161-E161</f>
        <v>-16998.949999999983</v>
      </c>
    </row>
    <row r="166" spans="1:8">
      <c r="C166" s="213" t="s">
        <v>140</v>
      </c>
      <c r="D166" s="1036">
        <f>G161-F161</f>
        <v>6084.4399999999878</v>
      </c>
    </row>
    <row r="167" spans="1:8">
      <c r="C167" s="844" t="s">
        <v>490</v>
      </c>
      <c r="D167" s="1037">
        <f>H161-G161</f>
        <v>-89926.900000000009</v>
      </c>
    </row>
    <row r="169" spans="1:8">
      <c r="A169" s="223"/>
      <c r="B169" s="223"/>
      <c r="C169" s="223"/>
      <c r="D169" s="223"/>
      <c r="E169" s="223"/>
      <c r="F169" s="223"/>
      <c r="G169" s="223"/>
      <c r="H169" s="223"/>
    </row>
  </sheetData>
  <mergeCells count="3">
    <mergeCell ref="A100:E100"/>
    <mergeCell ref="A124:E124"/>
    <mergeCell ref="A147:E14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038CA-7BE1-4055-A81F-C4A8694492C7}">
  <dimension ref="A1:I95"/>
  <sheetViews>
    <sheetView topLeftCell="A32" workbookViewId="0">
      <selection activeCell="B1" sqref="B1"/>
    </sheetView>
  </sheetViews>
  <sheetFormatPr defaultColWidth="11.42578125" defaultRowHeight="15"/>
  <cols>
    <col min="2" max="9" width="20.7109375" customWidth="1"/>
  </cols>
  <sheetData>
    <row r="1" spans="1:9" ht="15.75">
      <c r="A1" s="1" t="s">
        <v>347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 spans="1:9">
      <c r="A2" s="6">
        <v>1</v>
      </c>
      <c r="B2" s="61"/>
      <c r="C2" s="64"/>
      <c r="D2" s="602"/>
      <c r="E2" s="163"/>
      <c r="F2" s="799"/>
      <c r="G2" s="163"/>
      <c r="H2" s="800"/>
      <c r="I2" s="46"/>
    </row>
    <row r="3" spans="1:9">
      <c r="A3" s="12">
        <v>2</v>
      </c>
      <c r="B3" s="61"/>
      <c r="C3" s="64"/>
      <c r="D3" s="602"/>
      <c r="E3" s="602"/>
      <c r="F3" s="602"/>
      <c r="G3" s="603"/>
      <c r="H3" s="801"/>
      <c r="I3" s="55"/>
    </row>
    <row r="4" spans="1:9" ht="16.5">
      <c r="A4" s="16">
        <v>3</v>
      </c>
      <c r="B4" s="46"/>
      <c r="C4" s="64"/>
      <c r="D4" s="687"/>
      <c r="E4" s="802"/>
      <c r="F4" s="802"/>
      <c r="G4" s="603"/>
      <c r="H4" s="60"/>
      <c r="I4" s="61"/>
    </row>
    <row r="5" spans="1:9">
      <c r="A5" s="16">
        <v>4</v>
      </c>
      <c r="B5" s="803"/>
      <c r="C5" s="458"/>
      <c r="D5" s="803"/>
      <c r="E5" s="803"/>
      <c r="F5" s="458"/>
      <c r="G5" s="673"/>
      <c r="H5" s="735"/>
      <c r="I5" s="61"/>
    </row>
    <row r="6" spans="1:9">
      <c r="A6" s="16">
        <v>5</v>
      </c>
      <c r="B6" s="776"/>
      <c r="C6" s="458"/>
      <c r="D6" s="458"/>
      <c r="E6" s="458"/>
      <c r="F6" s="458"/>
      <c r="G6" s="64"/>
      <c r="H6" s="737"/>
      <c r="I6" s="61"/>
    </row>
    <row r="7" spans="1:9">
      <c r="A7" s="5">
        <v>6</v>
      </c>
      <c r="B7" s="776"/>
      <c r="C7" s="458"/>
      <c r="D7" s="776"/>
      <c r="E7" s="776"/>
      <c r="F7" s="458"/>
      <c r="G7" s="44"/>
      <c r="H7" s="45"/>
      <c r="I7" s="46"/>
    </row>
    <row r="8" spans="1:9">
      <c r="A8" s="12">
        <v>7</v>
      </c>
      <c r="B8" s="804"/>
      <c r="C8" s="779"/>
      <c r="D8" s="352"/>
      <c r="E8" s="352"/>
      <c r="F8" s="76"/>
      <c r="G8" s="48"/>
      <c r="H8" s="738"/>
      <c r="I8" s="55"/>
    </row>
    <row r="9" spans="1:9">
      <c r="A9" s="5">
        <v>8</v>
      </c>
      <c r="B9" s="72"/>
      <c r="C9" s="73"/>
      <c r="D9" s="335"/>
      <c r="E9" s="335"/>
      <c r="F9" s="44"/>
      <c r="G9" s="44"/>
      <c r="H9" s="45"/>
      <c r="I9" s="46"/>
    </row>
    <row r="10" spans="1:9">
      <c r="A10" s="12">
        <v>9</v>
      </c>
      <c r="B10" s="55"/>
      <c r="C10" s="48"/>
      <c r="D10" s="48"/>
      <c r="E10" s="48"/>
      <c r="F10" s="48"/>
      <c r="G10" s="48"/>
      <c r="H10" s="805"/>
      <c r="I10" s="55"/>
    </row>
    <row r="11" spans="1:9">
      <c r="A11" s="5">
        <v>10</v>
      </c>
      <c r="B11" s="46"/>
      <c r="C11" s="44"/>
      <c r="D11" s="44"/>
      <c r="E11" s="746"/>
      <c r="F11" s="746"/>
      <c r="G11" s="783"/>
      <c r="H11" s="806"/>
      <c r="I11" s="44"/>
    </row>
    <row r="12" spans="1:9">
      <c r="A12" s="12">
        <v>11</v>
      </c>
      <c r="B12" s="55"/>
      <c r="C12" s="48"/>
      <c r="D12" s="784"/>
      <c r="E12" s="747"/>
      <c r="F12" s="785"/>
      <c r="G12" s="749"/>
      <c r="H12" s="806"/>
      <c r="I12" s="48"/>
    </row>
    <row r="13" spans="1:9">
      <c r="A13" s="5">
        <v>12</v>
      </c>
      <c r="B13" s="41"/>
      <c r="C13" s="42"/>
      <c r="D13" s="43"/>
      <c r="E13" s="44"/>
      <c r="F13" s="43"/>
      <c r="G13" s="44"/>
      <c r="H13" s="45"/>
      <c r="I13" s="46"/>
    </row>
    <row r="14" spans="1:9" ht="15.75">
      <c r="A14" s="12">
        <v>13</v>
      </c>
      <c r="B14" s="47"/>
      <c r="C14" s="48"/>
      <c r="D14" s="43"/>
      <c r="E14" s="49"/>
      <c r="F14" s="50"/>
      <c r="G14" s="48"/>
      <c r="H14" s="51"/>
      <c r="I14" s="48"/>
    </row>
    <row r="15" spans="1:9">
      <c r="A15" s="5">
        <v>14</v>
      </c>
      <c r="B15" s="52"/>
      <c r="C15" s="43"/>
      <c r="D15" s="43"/>
      <c r="E15" s="44"/>
      <c r="F15" s="53"/>
      <c r="G15" s="44"/>
      <c r="H15" s="54"/>
      <c r="I15" s="44"/>
    </row>
    <row r="16" spans="1:9">
      <c r="A16" s="12">
        <v>15</v>
      </c>
      <c r="B16" s="55"/>
      <c r="C16" s="56"/>
      <c r="D16" s="660"/>
      <c r="E16" s="325"/>
      <c r="F16" s="807"/>
      <c r="G16" s="325"/>
      <c r="H16" s="60"/>
      <c r="I16" s="55"/>
    </row>
    <row r="17" spans="1:9" ht="15.75">
      <c r="A17" s="16">
        <v>16</v>
      </c>
      <c r="B17" s="61"/>
      <c r="C17" s="58"/>
      <c r="D17" s="340"/>
      <c r="E17" s="340"/>
      <c r="F17" s="568"/>
      <c r="G17" s="64"/>
      <c r="H17" s="60"/>
      <c r="I17" s="61"/>
    </row>
    <row r="18" spans="1:9">
      <c r="A18" s="16">
        <v>17</v>
      </c>
      <c r="B18" s="65"/>
      <c r="C18" s="66"/>
      <c r="D18" s="67"/>
      <c r="E18" s="67"/>
      <c r="F18" s="67"/>
      <c r="G18" s="68"/>
      <c r="H18" s="43"/>
      <c r="I18" s="68"/>
    </row>
    <row r="19" spans="1:9" ht="15.75">
      <c r="A19" s="16">
        <v>18</v>
      </c>
      <c r="B19" s="69"/>
      <c r="C19" s="67"/>
      <c r="D19" s="621"/>
      <c r="E19" s="808"/>
      <c r="F19" s="70"/>
      <c r="G19" s="67"/>
      <c r="H19" s="67"/>
      <c r="I19" s="67"/>
    </row>
    <row r="20" spans="1:9" ht="15.75">
      <c r="A20" s="16">
        <v>19</v>
      </c>
      <c r="B20" s="71"/>
      <c r="C20" s="67"/>
      <c r="D20" s="621"/>
      <c r="E20" s="808"/>
      <c r="F20" s="809"/>
      <c r="G20" s="91"/>
      <c r="H20" s="67"/>
      <c r="I20" s="67"/>
    </row>
    <row r="21" spans="1:9" ht="15.75">
      <c r="A21" s="5">
        <v>20</v>
      </c>
      <c r="B21" s="72"/>
      <c r="C21" s="73"/>
      <c r="D21" s="621"/>
      <c r="E21" s="150"/>
      <c r="F21" s="725"/>
      <c r="G21" s="150"/>
      <c r="H21" s="150"/>
      <c r="I21" s="61"/>
    </row>
    <row r="22" spans="1:9">
      <c r="A22" s="12">
        <v>21</v>
      </c>
      <c r="B22" s="75"/>
      <c r="C22" s="76"/>
      <c r="D22" s="74"/>
      <c r="E22" s="150"/>
      <c r="F22" s="439"/>
      <c r="G22" s="150"/>
      <c r="H22" s="150"/>
      <c r="I22" s="61"/>
    </row>
    <row r="23" spans="1:9">
      <c r="A23" s="16">
        <v>22</v>
      </c>
      <c r="B23" s="78"/>
      <c r="C23" s="74"/>
      <c r="D23" s="74"/>
      <c r="E23" s="150"/>
      <c r="F23" s="535"/>
      <c r="G23" s="150"/>
      <c r="H23" s="150"/>
      <c r="I23" s="61"/>
    </row>
    <row r="24" spans="1:9">
      <c r="A24" s="16">
        <v>23</v>
      </c>
      <c r="B24" s="61"/>
      <c r="C24" s="64"/>
      <c r="D24" s="62"/>
      <c r="E24" s="150"/>
      <c r="F24" s="56"/>
      <c r="G24" s="150"/>
      <c r="H24" s="150"/>
      <c r="I24" s="61"/>
    </row>
    <row r="25" spans="1:9">
      <c r="A25" s="16">
        <v>24</v>
      </c>
      <c r="B25" s="674"/>
      <c r="C25" s="43"/>
      <c r="D25" s="150"/>
      <c r="E25" s="150"/>
      <c r="F25" s="150"/>
      <c r="G25" s="81"/>
      <c r="H25" s="82"/>
      <c r="I25" s="61"/>
    </row>
    <row r="26" spans="1:9">
      <c r="A26" s="16">
        <v>25</v>
      </c>
      <c r="B26" s="611"/>
      <c r="C26" s="150"/>
      <c r="D26" s="150"/>
      <c r="E26" s="150"/>
      <c r="F26" s="150"/>
      <c r="G26" s="81"/>
      <c r="H26" s="83"/>
      <c r="I26" s="80"/>
    </row>
    <row r="27" spans="1:9">
      <c r="A27" s="16">
        <v>26</v>
      </c>
      <c r="B27" s="614"/>
      <c r="C27" s="150"/>
      <c r="D27" s="150"/>
      <c r="E27" s="150"/>
      <c r="F27" s="150"/>
      <c r="G27" s="81"/>
      <c r="H27" s="83"/>
      <c r="I27" s="80"/>
    </row>
    <row r="28" spans="1:9">
      <c r="A28" s="16">
        <v>27</v>
      </c>
      <c r="B28" s="617"/>
      <c r="C28" s="150"/>
      <c r="D28" s="150"/>
      <c r="E28" s="150"/>
      <c r="F28" s="150"/>
      <c r="G28" s="150"/>
      <c r="H28" s="150"/>
      <c r="I28" s="61"/>
    </row>
    <row r="29" spans="1:9">
      <c r="A29" s="16">
        <v>28</v>
      </c>
      <c r="B29" s="61"/>
      <c r="C29" s="84"/>
      <c r="D29" s="150"/>
      <c r="E29" s="150"/>
      <c r="F29" s="150"/>
      <c r="G29" s="150"/>
      <c r="H29" s="150"/>
      <c r="I29" s="61"/>
    </row>
    <row r="30" spans="1:9">
      <c r="A30" s="16">
        <v>29</v>
      </c>
      <c r="B30" s="61"/>
      <c r="C30" s="64"/>
      <c r="D30" s="150"/>
      <c r="E30" s="150"/>
      <c r="F30" s="150"/>
      <c r="G30" s="150"/>
      <c r="H30" s="150"/>
      <c r="I30" s="80"/>
    </row>
    <row r="31" spans="1:9">
      <c r="A31" s="16">
        <v>30</v>
      </c>
      <c r="B31" s="61"/>
      <c r="C31" s="64"/>
      <c r="D31" s="64"/>
      <c r="E31" s="88"/>
      <c r="F31" s="88"/>
      <c r="G31" s="64"/>
      <c r="H31" s="60"/>
      <c r="I31" s="80"/>
    </row>
    <row r="32" spans="1:9">
      <c r="A32" s="16">
        <v>31</v>
      </c>
      <c r="B32" s="89"/>
      <c r="C32" s="90"/>
      <c r="D32" s="90"/>
      <c r="E32" s="90"/>
      <c r="F32" s="90"/>
      <c r="G32" s="90"/>
      <c r="H32" s="60"/>
      <c r="I32" s="61"/>
    </row>
    <row r="33" spans="1:9" ht="15.75">
      <c r="A33" s="36" t="s">
        <v>391</v>
      </c>
      <c r="B33" s="37" t="s">
        <v>1</v>
      </c>
      <c r="C33" s="37" t="s">
        <v>2</v>
      </c>
      <c r="D33" s="38" t="s">
        <v>3</v>
      </c>
      <c r="E33" s="38" t="s">
        <v>4</v>
      </c>
      <c r="F33" s="37" t="s">
        <v>5</v>
      </c>
      <c r="G33" s="37" t="s">
        <v>6</v>
      </c>
      <c r="H33" s="3" t="s">
        <v>7</v>
      </c>
      <c r="I33" s="39" t="s">
        <v>8</v>
      </c>
    </row>
    <row r="34" spans="1:9" ht="15.75">
      <c r="A34" s="7">
        <v>1</v>
      </c>
      <c r="B34" s="60"/>
      <c r="C34" s="92"/>
      <c r="D34" s="93"/>
      <c r="E34" s="94"/>
      <c r="F34" s="64"/>
      <c r="G34" s="64"/>
      <c r="H34" s="150"/>
      <c r="I34" s="43"/>
    </row>
    <row r="35" spans="1:9">
      <c r="A35" s="7">
        <v>2</v>
      </c>
      <c r="B35" s="95"/>
      <c r="C35" s="43"/>
      <c r="D35" s="91"/>
      <c r="E35" s="91"/>
      <c r="F35" s="95"/>
      <c r="G35" s="54"/>
      <c r="H35" s="74"/>
      <c r="I35" s="64"/>
    </row>
    <row r="36" spans="1:9">
      <c r="A36" s="7">
        <v>3</v>
      </c>
      <c r="B36" s="95"/>
      <c r="C36" s="91"/>
      <c r="D36" s="91"/>
      <c r="E36" s="74"/>
      <c r="F36" s="95"/>
      <c r="G36" s="74"/>
      <c r="H36" s="74"/>
      <c r="I36" s="64"/>
    </row>
    <row r="37" spans="1:9">
      <c r="A37" s="7">
        <v>4</v>
      </c>
      <c r="B37" s="64"/>
      <c r="C37" s="43"/>
      <c r="D37" s="340"/>
      <c r="E37" s="88"/>
      <c r="F37" s="88"/>
      <c r="G37" s="64"/>
      <c r="H37" s="64"/>
      <c r="I37" s="64"/>
    </row>
    <row r="38" spans="1:9" ht="15.75">
      <c r="A38" s="7">
        <v>5</v>
      </c>
      <c r="B38" s="64"/>
      <c r="C38" s="43"/>
      <c r="D38" s="88"/>
      <c r="E38" s="96"/>
      <c r="F38" s="96"/>
      <c r="G38" s="97"/>
      <c r="H38" s="98"/>
      <c r="I38" s="64"/>
    </row>
    <row r="39" spans="1:9">
      <c r="A39" s="7">
        <v>6</v>
      </c>
      <c r="B39" s="64"/>
      <c r="C39" s="43"/>
      <c r="D39" s="340"/>
      <c r="E39" s="43"/>
      <c r="F39" s="64"/>
      <c r="G39" s="64"/>
      <c r="H39" s="64"/>
      <c r="I39" s="43"/>
    </row>
    <row r="40" spans="1:9">
      <c r="A40" s="7">
        <v>7</v>
      </c>
      <c r="B40" s="43"/>
      <c r="C40" s="56"/>
      <c r="D40" s="43"/>
      <c r="E40" s="99"/>
      <c r="F40" s="43"/>
      <c r="G40" s="64"/>
      <c r="H40" s="64"/>
      <c r="I40" s="64"/>
    </row>
    <row r="41" spans="1:9">
      <c r="A41" s="7">
        <v>8</v>
      </c>
      <c r="B41" s="163"/>
      <c r="C41" s="163"/>
      <c r="D41" s="163"/>
      <c r="E41" s="163"/>
      <c r="F41" s="163"/>
      <c r="G41" s="43"/>
      <c r="H41" s="64"/>
      <c r="I41" s="64"/>
    </row>
    <row r="42" spans="1:9">
      <c r="A42" s="7">
        <v>9</v>
      </c>
      <c r="B42" s="163"/>
      <c r="C42" s="163"/>
      <c r="D42" s="163"/>
      <c r="E42" s="163"/>
      <c r="F42" s="163"/>
      <c r="G42" s="64"/>
      <c r="H42" s="64"/>
      <c r="I42" s="64"/>
    </row>
    <row r="43" spans="1:9">
      <c r="A43" s="7">
        <v>10</v>
      </c>
      <c r="B43" s="64"/>
      <c r="C43" s="43"/>
      <c r="D43" s="43"/>
      <c r="E43" s="43"/>
      <c r="F43" s="67"/>
      <c r="G43" s="64"/>
      <c r="H43" s="100"/>
      <c r="I43" s="64"/>
    </row>
    <row r="44" spans="1:9">
      <c r="A44" s="7">
        <v>11</v>
      </c>
      <c r="B44" s="64"/>
      <c r="C44" s="43"/>
      <c r="D44" s="150"/>
      <c r="E44" s="150"/>
      <c r="F44" s="150"/>
      <c r="G44" s="64"/>
      <c r="H44" s="64"/>
      <c r="I44" s="64"/>
    </row>
    <row r="45" spans="1:9">
      <c r="A45" s="7">
        <v>12</v>
      </c>
      <c r="B45" s="91"/>
      <c r="C45" s="43"/>
      <c r="D45" s="54"/>
      <c r="E45" s="150"/>
      <c r="F45" s="150"/>
      <c r="G45" s="150"/>
      <c r="H45" s="64"/>
      <c r="I45" s="43"/>
    </row>
    <row r="46" spans="1:9" ht="15.75">
      <c r="A46" s="7">
        <v>13</v>
      </c>
      <c r="B46" s="91"/>
      <c r="C46" s="64"/>
      <c r="D46" s="340"/>
      <c r="E46" s="64"/>
      <c r="F46" s="101"/>
      <c r="G46" s="64"/>
      <c r="H46" s="64"/>
      <c r="I46" s="54"/>
    </row>
    <row r="47" spans="1:9" ht="15.75">
      <c r="A47" s="7">
        <v>14</v>
      </c>
      <c r="B47" s="150"/>
      <c r="C47" s="150"/>
      <c r="D47" s="150"/>
      <c r="E47" s="150"/>
      <c r="F47" s="150"/>
      <c r="G47" s="102"/>
      <c r="H47" s="102"/>
      <c r="I47" s="64"/>
    </row>
    <row r="48" spans="1:9" ht="15.75">
      <c r="A48" s="7">
        <v>15</v>
      </c>
      <c r="B48" s="335"/>
      <c r="C48" s="335"/>
      <c r="D48" s="621"/>
      <c r="E48" s="335"/>
      <c r="F48" s="335"/>
      <c r="G48" s="103"/>
      <c r="H48" s="103"/>
      <c r="I48" s="43"/>
    </row>
    <row r="49" spans="1:9" ht="15.75">
      <c r="A49" s="16">
        <v>16</v>
      </c>
      <c r="B49" s="357"/>
      <c r="C49" s="357"/>
      <c r="D49" s="621"/>
      <c r="E49" s="357"/>
      <c r="F49" s="357"/>
      <c r="G49" s="49"/>
      <c r="H49" s="49"/>
      <c r="I49" s="64"/>
    </row>
    <row r="50" spans="1:9" ht="15.75">
      <c r="A50" s="7">
        <v>17</v>
      </c>
      <c r="B50" s="150"/>
      <c r="C50" s="150"/>
      <c r="D50" s="621"/>
      <c r="E50" s="150"/>
      <c r="F50" s="150"/>
      <c r="G50" s="43"/>
      <c r="H50" s="106"/>
      <c r="I50" s="64"/>
    </row>
    <row r="51" spans="1:9">
      <c r="A51" s="16">
        <v>18</v>
      </c>
      <c r="B51" s="107"/>
      <c r="C51" s="108"/>
      <c r="D51" s="108"/>
      <c r="E51" s="43"/>
      <c r="F51" s="108"/>
      <c r="G51" s="109"/>
      <c r="H51" s="110"/>
      <c r="I51" s="108"/>
    </row>
    <row r="52" spans="1:9">
      <c r="A52" s="7">
        <v>19</v>
      </c>
      <c r="B52" s="43"/>
      <c r="C52" s="91"/>
      <c r="D52" s="91"/>
      <c r="E52" s="43"/>
      <c r="F52" s="43"/>
      <c r="G52" s="64"/>
      <c r="H52" s="64"/>
      <c r="I52" s="64"/>
    </row>
    <row r="53" spans="1:9" ht="15.75">
      <c r="A53" s="7">
        <v>20</v>
      </c>
      <c r="B53" s="755"/>
      <c r="C53" s="755"/>
      <c r="D53" s="340"/>
      <c r="E53" s="755"/>
      <c r="F53" s="755"/>
      <c r="G53" s="81"/>
      <c r="H53" s="64"/>
      <c r="I53" s="64"/>
    </row>
    <row r="54" spans="1:9" ht="15.75">
      <c r="A54" s="7">
        <v>21</v>
      </c>
      <c r="B54" s="547"/>
      <c r="C54" s="547"/>
      <c r="D54" s="547"/>
      <c r="E54" s="547"/>
      <c r="F54" s="547"/>
      <c r="G54" s="81"/>
      <c r="H54" s="111"/>
      <c r="I54" s="61"/>
    </row>
    <row r="55" spans="1:9" ht="15.75">
      <c r="A55" s="7">
        <v>22</v>
      </c>
      <c r="B55" s="547"/>
      <c r="C55" s="547"/>
      <c r="D55" s="754"/>
      <c r="E55" s="755"/>
      <c r="F55" s="755"/>
      <c r="G55" s="81"/>
      <c r="H55" s="64"/>
      <c r="I55" s="64"/>
    </row>
    <row r="56" spans="1:9" ht="15.75">
      <c r="A56" s="7">
        <v>23</v>
      </c>
      <c r="B56" s="547"/>
      <c r="C56" s="547"/>
      <c r="D56" s="547"/>
      <c r="E56" s="547"/>
      <c r="F56" s="547"/>
      <c r="G56" s="81"/>
      <c r="H56" s="64"/>
      <c r="I56" s="64"/>
    </row>
    <row r="57" spans="1:9" ht="15.75">
      <c r="A57" s="7">
        <v>24</v>
      </c>
      <c r="B57" s="810"/>
      <c r="C57" s="810"/>
      <c r="D57" s="810"/>
      <c r="E57" s="810"/>
      <c r="F57" s="810"/>
      <c r="G57" s="81"/>
      <c r="H57" s="100"/>
      <c r="I57" s="112"/>
    </row>
    <row r="58" spans="1:9">
      <c r="A58" s="7">
        <v>25</v>
      </c>
      <c r="B58" s="150"/>
      <c r="C58" s="150"/>
      <c r="D58" s="150"/>
      <c r="E58" s="150"/>
      <c r="F58" s="150"/>
      <c r="G58" s="64"/>
      <c r="H58" s="64"/>
      <c r="I58" s="64"/>
    </row>
    <row r="59" spans="1:9">
      <c r="A59" s="11">
        <v>26</v>
      </c>
      <c r="B59" s="150"/>
      <c r="C59" s="150"/>
      <c r="D59" s="150"/>
      <c r="E59" s="150"/>
      <c r="F59" s="150"/>
      <c r="G59" s="150"/>
      <c r="H59" s="64"/>
      <c r="I59" s="64"/>
    </row>
    <row r="60" spans="1:9">
      <c r="A60" s="15">
        <v>27</v>
      </c>
      <c r="B60" s="150"/>
      <c r="C60" s="150"/>
      <c r="D60" s="150"/>
      <c r="E60" s="150"/>
      <c r="F60" s="150"/>
      <c r="G60" s="150"/>
      <c r="H60" s="64"/>
      <c r="I60" s="43"/>
    </row>
    <row r="61" spans="1:9" ht="15.75">
      <c r="A61" s="11">
        <v>28</v>
      </c>
      <c r="B61" s="787"/>
      <c r="C61" s="42"/>
      <c r="D61" s="114"/>
      <c r="E61" s="115"/>
      <c r="F61" s="116"/>
      <c r="G61" s="44"/>
      <c r="H61" s="473"/>
      <c r="I61" s="44"/>
    </row>
    <row r="62" spans="1:9" ht="15.75">
      <c r="A62" s="15">
        <v>29</v>
      </c>
      <c r="B62" s="787"/>
      <c r="C62" s="93"/>
      <c r="D62" s="145"/>
      <c r="E62" s="145"/>
      <c r="F62" s="146"/>
      <c r="G62" s="55"/>
      <c r="H62" s="473"/>
      <c r="I62" s="55"/>
    </row>
    <row r="63" spans="1:9" ht="15.75">
      <c r="A63" s="15">
        <v>30</v>
      </c>
      <c r="B63" s="787"/>
      <c r="C63" s="93"/>
      <c r="D63" s="145"/>
      <c r="E63" s="145"/>
      <c r="F63" s="146"/>
      <c r="G63" s="55"/>
      <c r="H63" s="473"/>
      <c r="I63" s="55"/>
    </row>
    <row r="64" spans="1:9" ht="15.75">
      <c r="A64" s="148" t="s">
        <v>425</v>
      </c>
      <c r="B64" s="37" t="s">
        <v>1</v>
      </c>
      <c r="C64" s="37" t="s">
        <v>2</v>
      </c>
      <c r="D64" s="37" t="s">
        <v>3</v>
      </c>
      <c r="E64" s="37" t="s">
        <v>4</v>
      </c>
      <c r="F64" s="37" t="s">
        <v>5</v>
      </c>
      <c r="G64" s="37" t="s">
        <v>6</v>
      </c>
      <c r="H64" s="37" t="s">
        <v>7</v>
      </c>
      <c r="I64" s="39" t="s">
        <v>8</v>
      </c>
    </row>
    <row r="65" spans="1:9" ht="15.75">
      <c r="A65" s="7">
        <v>1</v>
      </c>
      <c r="B65" s="117"/>
      <c r="C65" s="43"/>
      <c r="D65" s="101"/>
      <c r="E65" s="105"/>
      <c r="F65" s="118"/>
      <c r="G65" s="97"/>
      <c r="H65" s="64"/>
      <c r="I65" s="43"/>
    </row>
    <row r="66" spans="1:9" ht="15.75">
      <c r="A66" s="7">
        <v>2</v>
      </c>
      <c r="B66" s="64"/>
      <c r="C66" s="74"/>
      <c r="D66" s="101"/>
      <c r="E66" s="105"/>
      <c r="F66" s="119"/>
      <c r="G66" s="64"/>
      <c r="H66" s="74"/>
      <c r="I66" s="64"/>
    </row>
    <row r="67" spans="1:9">
      <c r="A67" s="7">
        <v>3</v>
      </c>
      <c r="B67" s="120"/>
      <c r="C67" s="120"/>
      <c r="D67" s="74"/>
      <c r="E67" s="74"/>
      <c r="F67" s="42"/>
      <c r="G67" s="64"/>
      <c r="H67" s="64"/>
      <c r="I67" s="44"/>
    </row>
    <row r="68" spans="1:9">
      <c r="A68" s="7">
        <v>4</v>
      </c>
      <c r="B68" s="120"/>
      <c r="C68" s="120"/>
      <c r="D68" s="340"/>
      <c r="E68" s="87"/>
      <c r="F68" s="93"/>
      <c r="G68" s="45"/>
      <c r="H68" s="92"/>
      <c r="I68" s="93"/>
    </row>
    <row r="69" spans="1:9">
      <c r="A69" s="7">
        <v>5</v>
      </c>
      <c r="B69" s="43"/>
      <c r="C69" s="121"/>
      <c r="D69" s="80"/>
      <c r="E69" s="43"/>
      <c r="F69" s="122"/>
      <c r="G69" s="48"/>
      <c r="H69" s="64"/>
      <c r="I69" s="123"/>
    </row>
    <row r="70" spans="1:9">
      <c r="A70" s="7">
        <v>6</v>
      </c>
      <c r="B70" s="43"/>
      <c r="C70" s="124"/>
      <c r="D70" s="43"/>
      <c r="E70" s="43"/>
      <c r="F70" s="43"/>
      <c r="G70" s="81"/>
      <c r="H70" s="150"/>
      <c r="I70" s="43"/>
    </row>
    <row r="71" spans="1:9">
      <c r="A71" s="7">
        <v>7</v>
      </c>
      <c r="B71" s="84"/>
      <c r="C71" s="67"/>
      <c r="D71" s="125"/>
      <c r="E71" s="126"/>
      <c r="F71" s="125"/>
      <c r="G71" s="127"/>
      <c r="H71" s="64"/>
      <c r="I71" s="64"/>
    </row>
    <row r="72" spans="1:9">
      <c r="A72" s="7">
        <v>8</v>
      </c>
      <c r="B72" s="128"/>
      <c r="C72" s="67"/>
      <c r="D72" s="84"/>
      <c r="E72" s="128"/>
      <c r="F72" s="128"/>
      <c r="G72" s="64"/>
      <c r="H72" s="150"/>
      <c r="I72" s="64"/>
    </row>
    <row r="73" spans="1:9">
      <c r="A73" s="7">
        <v>9</v>
      </c>
      <c r="B73" s="128"/>
      <c r="C73" s="84"/>
      <c r="D73" s="43"/>
      <c r="E73" s="128"/>
      <c r="F73" s="128"/>
      <c r="G73" s="64"/>
      <c r="H73" s="74"/>
      <c r="I73" s="64"/>
    </row>
    <row r="74" spans="1:9">
      <c r="A74" s="7">
        <v>10</v>
      </c>
      <c r="B74" s="128"/>
      <c r="C74" s="64"/>
      <c r="D74" s="43"/>
      <c r="E74" s="128"/>
      <c r="F74" s="128"/>
      <c r="G74" s="129"/>
      <c r="H74" s="130"/>
      <c r="I74" s="64"/>
    </row>
    <row r="75" spans="1:9">
      <c r="A75" s="7">
        <v>11</v>
      </c>
      <c r="B75" s="84"/>
      <c r="C75" s="43"/>
      <c r="D75" s="340"/>
      <c r="E75" s="131"/>
      <c r="F75" s="131"/>
      <c r="G75" s="129"/>
      <c r="H75" s="84"/>
      <c r="I75" s="64"/>
    </row>
    <row r="76" spans="1:9">
      <c r="A76" s="7">
        <v>12</v>
      </c>
      <c r="B76" s="84"/>
      <c r="C76" s="43"/>
      <c r="D76" s="532"/>
      <c r="E76" s="411"/>
      <c r="F76" s="411"/>
      <c r="G76" s="64"/>
      <c r="H76" s="43"/>
      <c r="I76" s="43"/>
    </row>
    <row r="77" spans="1:9" ht="15.75">
      <c r="A77" s="7">
        <v>13</v>
      </c>
      <c r="B77" s="811"/>
      <c r="C77" s="811"/>
      <c r="D77" s="621"/>
      <c r="E77" s="811"/>
      <c r="F77" s="811"/>
      <c r="G77" s="91"/>
      <c r="H77" s="131"/>
      <c r="I77" s="43"/>
    </row>
    <row r="78" spans="1:9" ht="15.75">
      <c r="A78" s="7">
        <v>14</v>
      </c>
      <c r="B78" s="811"/>
      <c r="C78" s="811"/>
      <c r="D78" s="621"/>
      <c r="E78" s="811"/>
      <c r="F78" s="811"/>
      <c r="G78" s="131"/>
      <c r="H78" s="43"/>
      <c r="I78" s="43"/>
    </row>
    <row r="79" spans="1:9" ht="15.75">
      <c r="A79" s="7">
        <v>15</v>
      </c>
      <c r="B79" s="85"/>
      <c r="C79" s="85"/>
      <c r="D79" s="151"/>
      <c r="E79" s="85"/>
      <c r="F79" s="85"/>
      <c r="G79" s="64"/>
      <c r="H79" s="134"/>
      <c r="I79" s="43"/>
    </row>
    <row r="80" spans="1:9">
      <c r="A80" s="7">
        <v>16</v>
      </c>
      <c r="B80" s="85"/>
      <c r="C80" s="85"/>
      <c r="D80" s="85"/>
      <c r="E80" s="85"/>
      <c r="F80" s="85"/>
      <c r="G80" s="81"/>
      <c r="H80" s="135"/>
      <c r="I80" s="64"/>
    </row>
    <row r="81" spans="1:9">
      <c r="A81" s="7">
        <v>17</v>
      </c>
      <c r="B81" s="85"/>
      <c r="C81" s="85"/>
      <c r="D81" s="85"/>
      <c r="E81" s="85"/>
      <c r="F81" s="85"/>
      <c r="G81" s="81"/>
      <c r="H81" s="136"/>
      <c r="I81" s="113"/>
    </row>
    <row r="82" spans="1:9">
      <c r="A82" s="7">
        <v>18</v>
      </c>
      <c r="B82" s="67"/>
      <c r="C82" s="91"/>
      <c r="D82" s="340"/>
      <c r="E82" s="91"/>
      <c r="F82" s="91"/>
      <c r="G82" s="64"/>
      <c r="H82" s="43"/>
      <c r="I82" s="43"/>
    </row>
    <row r="83" spans="1:9">
      <c r="A83" s="7">
        <v>19</v>
      </c>
      <c r="B83" s="88"/>
      <c r="C83" s="43"/>
      <c r="D83" s="64"/>
      <c r="E83" s="43"/>
      <c r="F83" s="43"/>
      <c r="G83" s="64"/>
      <c r="H83" s="43"/>
      <c r="I83" s="43"/>
    </row>
    <row r="84" spans="1:9">
      <c r="A84" s="7">
        <v>20</v>
      </c>
      <c r="B84" s="64"/>
      <c r="C84" s="64"/>
      <c r="D84" s="91"/>
      <c r="E84" s="43"/>
      <c r="F84" s="43"/>
      <c r="G84" s="131"/>
      <c r="H84" s="43"/>
      <c r="I84" s="43"/>
    </row>
    <row r="85" spans="1:9">
      <c r="A85" s="7">
        <v>21</v>
      </c>
      <c r="B85" s="100"/>
      <c r="C85" s="131"/>
      <c r="D85" s="131"/>
      <c r="E85" s="43"/>
      <c r="F85" s="43"/>
      <c r="G85" s="64"/>
      <c r="H85" s="64"/>
      <c r="I85" s="81"/>
    </row>
    <row r="86" spans="1:9">
      <c r="A86" s="7">
        <v>22</v>
      </c>
      <c r="B86" s="137"/>
      <c r="C86" s="137"/>
      <c r="D86" s="137"/>
      <c r="E86" s="137"/>
      <c r="F86" s="137"/>
      <c r="G86" s="64"/>
      <c r="H86" s="64"/>
      <c r="I86" s="43"/>
    </row>
    <row r="87" spans="1:9">
      <c r="A87" s="16">
        <v>23</v>
      </c>
      <c r="B87" s="138"/>
      <c r="C87" s="139"/>
      <c r="D87" s="140"/>
      <c r="E87" s="141"/>
      <c r="F87" s="141"/>
      <c r="G87" s="64"/>
      <c r="H87" s="64"/>
      <c r="I87" s="64"/>
    </row>
    <row r="88" spans="1:9">
      <c r="A88" s="16">
        <v>24</v>
      </c>
      <c r="B88" s="142"/>
      <c r="C88" s="143"/>
      <c r="D88" s="133"/>
      <c r="E88" s="76"/>
      <c r="F88" s="48"/>
      <c r="G88" s="64"/>
      <c r="H88" s="64"/>
      <c r="I88" s="64"/>
    </row>
    <row r="89" spans="1:9">
      <c r="A89" s="7">
        <v>25</v>
      </c>
      <c r="B89" s="43"/>
      <c r="C89" s="43"/>
      <c r="D89" s="74"/>
      <c r="E89" s="43"/>
      <c r="F89" s="43"/>
      <c r="G89" s="64"/>
      <c r="H89" s="150"/>
      <c r="I89" s="64"/>
    </row>
    <row r="90" spans="1:9">
      <c r="A90" s="7">
        <v>26</v>
      </c>
      <c r="B90" s="43"/>
      <c r="C90" s="43"/>
      <c r="D90" s="74"/>
      <c r="E90" s="43"/>
      <c r="F90" s="43"/>
      <c r="G90" s="64"/>
      <c r="H90" s="81"/>
      <c r="I90" s="64"/>
    </row>
    <row r="91" spans="1:9">
      <c r="A91" s="7">
        <v>27</v>
      </c>
      <c r="B91" s="43"/>
      <c r="C91" s="43"/>
      <c r="D91" s="74"/>
      <c r="E91" s="74"/>
      <c r="F91" s="64"/>
      <c r="G91" s="64"/>
      <c r="H91" s="64"/>
      <c r="I91" s="64"/>
    </row>
    <row r="92" spans="1:9">
      <c r="A92" s="7">
        <v>28</v>
      </c>
      <c r="B92" s="131"/>
      <c r="C92" s="131"/>
      <c r="D92" s="131"/>
      <c r="E92" s="131"/>
      <c r="F92" s="131"/>
      <c r="G92" s="64"/>
      <c r="H92" s="64"/>
      <c r="I92" s="144"/>
    </row>
    <row r="93" spans="1:9">
      <c r="A93" s="7">
        <v>29</v>
      </c>
      <c r="B93" s="131"/>
      <c r="C93" s="131"/>
      <c r="D93" s="131"/>
      <c r="E93" s="131"/>
      <c r="F93" s="131"/>
      <c r="G93" s="64"/>
      <c r="H93" s="64"/>
      <c r="I93" s="144"/>
    </row>
    <row r="94" spans="1:9">
      <c r="A94" s="7">
        <v>30</v>
      </c>
      <c r="B94" s="131"/>
      <c r="C94" s="131"/>
      <c r="D94" s="131"/>
      <c r="E94" s="131"/>
      <c r="F94" s="131"/>
      <c r="G94" s="64"/>
      <c r="H94" s="64"/>
      <c r="I94" s="144"/>
    </row>
    <row r="95" spans="1:9">
      <c r="A95" s="7">
        <v>31</v>
      </c>
      <c r="B95" s="43"/>
      <c r="C95" s="43"/>
      <c r="D95" s="43"/>
      <c r="E95" s="91"/>
      <c r="F95" s="91"/>
      <c r="G95" s="64"/>
      <c r="H95" s="64"/>
      <c r="I95" s="14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5A614-47F5-4369-BCB9-0758D50DAFBB}">
  <dimension ref="A1:L108"/>
  <sheetViews>
    <sheetView workbookViewId="0">
      <selection activeCell="J13" sqref="J13"/>
    </sheetView>
  </sheetViews>
  <sheetFormatPr defaultColWidth="11.42578125" defaultRowHeight="15"/>
  <cols>
    <col min="1" max="3" width="20.7109375" customWidth="1"/>
    <col min="4" max="4" width="26.42578125" customWidth="1"/>
    <col min="5" max="7" width="20.7109375" customWidth="1"/>
    <col min="8" max="8" width="25.42578125" customWidth="1"/>
    <col min="9" max="12" width="20.7109375" customWidth="1"/>
  </cols>
  <sheetData>
    <row r="1" spans="1:12">
      <c r="A1" s="175"/>
      <c r="D1" s="215"/>
      <c r="H1" s="215"/>
      <c r="I1" s="251"/>
      <c r="L1" s="215"/>
    </row>
    <row r="2" spans="1:12">
      <c r="A2" s="176" t="s">
        <v>116</v>
      </c>
      <c r="B2" s="175"/>
      <c r="D2" s="215"/>
      <c r="E2" s="227" t="s">
        <v>116</v>
      </c>
      <c r="F2" s="228"/>
      <c r="H2" s="215"/>
      <c r="I2" s="897" t="s">
        <v>116</v>
      </c>
      <c r="J2" s="243"/>
      <c r="L2" s="215"/>
    </row>
    <row r="3" spans="1:12">
      <c r="A3" s="175"/>
      <c r="B3" s="176" t="s">
        <v>117</v>
      </c>
      <c r="D3" s="215"/>
      <c r="E3" s="228"/>
      <c r="F3" s="229" t="s">
        <v>142</v>
      </c>
      <c r="H3" s="215"/>
      <c r="I3" s="898"/>
      <c r="J3" s="245" t="s">
        <v>144</v>
      </c>
      <c r="L3" s="215"/>
    </row>
    <row r="4" spans="1:12">
      <c r="D4" s="215"/>
      <c r="H4" s="215"/>
      <c r="I4" s="251"/>
      <c r="L4" s="215"/>
    </row>
    <row r="5" spans="1:12">
      <c r="A5" s="867" t="s">
        <v>120</v>
      </c>
      <c r="B5" s="187">
        <v>129521.31</v>
      </c>
      <c r="D5" s="215"/>
      <c r="E5" s="867" t="s">
        <v>120</v>
      </c>
      <c r="F5" s="187">
        <v>173407.25</v>
      </c>
      <c r="H5" s="215"/>
      <c r="I5" s="899" t="s">
        <v>120</v>
      </c>
      <c r="J5" s="187">
        <v>169734.6</v>
      </c>
      <c r="L5" s="215"/>
    </row>
    <row r="6" spans="1:12">
      <c r="A6" s="868" t="s">
        <v>122</v>
      </c>
      <c r="B6" s="190">
        <v>144149.44</v>
      </c>
      <c r="C6" s="188"/>
      <c r="D6" s="873"/>
      <c r="E6" s="868" t="s">
        <v>122</v>
      </c>
      <c r="F6" s="190">
        <v>150289.41</v>
      </c>
      <c r="G6" s="188"/>
      <c r="H6" s="873"/>
      <c r="I6" s="900" t="s">
        <v>122</v>
      </c>
      <c r="J6" s="190">
        <v>36562.15</v>
      </c>
      <c r="K6" s="188"/>
      <c r="L6" s="215"/>
    </row>
    <row r="7" spans="1:12">
      <c r="A7" s="869" t="s">
        <v>124</v>
      </c>
      <c r="B7" s="192">
        <v>136.07</v>
      </c>
      <c r="D7" s="873"/>
      <c r="E7" s="885" t="s">
        <v>124</v>
      </c>
      <c r="F7" s="192">
        <v>0</v>
      </c>
      <c r="G7" s="188"/>
      <c r="H7" s="873"/>
      <c r="I7" s="901" t="s">
        <v>124</v>
      </c>
      <c r="J7" s="192">
        <v>0</v>
      </c>
      <c r="K7" s="188"/>
      <c r="L7" s="215"/>
    </row>
    <row r="8" spans="1:12">
      <c r="A8" s="867" t="s">
        <v>126</v>
      </c>
      <c r="B8" s="187">
        <v>72661.3</v>
      </c>
      <c r="D8" s="215"/>
      <c r="E8" s="867" t="s">
        <v>126</v>
      </c>
      <c r="F8" s="187">
        <v>125715.38</v>
      </c>
      <c r="H8" s="215"/>
      <c r="I8" s="899" t="s">
        <v>126</v>
      </c>
      <c r="J8" s="187">
        <v>159111.65</v>
      </c>
      <c r="L8" s="215"/>
    </row>
    <row r="9" spans="1:12">
      <c r="A9" s="241" t="s">
        <v>128</v>
      </c>
      <c r="B9" s="195">
        <v>110391.46</v>
      </c>
      <c r="D9" s="874"/>
      <c r="E9" s="241" t="s">
        <v>128</v>
      </c>
      <c r="F9" s="195">
        <v>129074.76</v>
      </c>
      <c r="G9" s="231"/>
      <c r="H9" s="879"/>
      <c r="I9" s="902" t="s">
        <v>128</v>
      </c>
      <c r="J9" s="195">
        <v>155344.29</v>
      </c>
      <c r="K9" s="193"/>
      <c r="L9" s="874"/>
    </row>
    <row r="10" spans="1:12">
      <c r="A10" s="240" t="s">
        <v>130</v>
      </c>
      <c r="B10" s="197">
        <v>170923.77</v>
      </c>
      <c r="D10" s="215"/>
      <c r="E10" s="240" t="s">
        <v>130</v>
      </c>
      <c r="F10" s="197">
        <v>177885.87</v>
      </c>
      <c r="H10" s="215"/>
      <c r="I10" s="892" t="s">
        <v>130</v>
      </c>
      <c r="J10" s="197">
        <v>190421.29</v>
      </c>
      <c r="L10" s="215"/>
    </row>
    <row r="11" spans="1:12">
      <c r="A11" s="866" t="s">
        <v>132</v>
      </c>
      <c r="B11" s="258">
        <v>152183.79</v>
      </c>
      <c r="D11" s="215"/>
      <c r="E11" s="866" t="s">
        <v>132</v>
      </c>
      <c r="F11" s="258">
        <v>232363.7</v>
      </c>
      <c r="G11" s="193"/>
      <c r="H11" s="880"/>
      <c r="I11" s="893" t="s">
        <v>132</v>
      </c>
      <c r="J11" s="258">
        <v>239657.39</v>
      </c>
      <c r="K11" s="193"/>
      <c r="L11" s="903"/>
    </row>
    <row r="12" spans="1:12">
      <c r="A12" s="870" t="s">
        <v>508</v>
      </c>
      <c r="B12" s="1188">
        <v>151907.57999999999</v>
      </c>
      <c r="D12" s="215"/>
      <c r="E12" s="870" t="s">
        <v>508</v>
      </c>
      <c r="F12" s="1188">
        <v>74816.58</v>
      </c>
      <c r="G12" s="193"/>
      <c r="H12" s="880"/>
      <c r="I12" s="904" t="s">
        <v>508</v>
      </c>
      <c r="J12" s="1188">
        <v>74460.22</v>
      </c>
      <c r="K12" s="193"/>
      <c r="L12" s="903"/>
    </row>
    <row r="13" spans="1:12">
      <c r="A13" s="866"/>
      <c r="B13" s="258"/>
      <c r="D13" s="215"/>
      <c r="E13" s="866"/>
      <c r="F13" s="258"/>
      <c r="G13" s="193"/>
      <c r="H13" s="880"/>
      <c r="I13" s="253"/>
      <c r="J13" s="258"/>
      <c r="K13" s="193"/>
      <c r="L13" s="903"/>
    </row>
    <row r="14" spans="1:12">
      <c r="A14" s="870"/>
      <c r="B14" s="258"/>
      <c r="D14" s="215"/>
      <c r="E14" s="870"/>
      <c r="F14" s="258"/>
      <c r="G14" s="193"/>
      <c r="H14" s="880"/>
      <c r="I14" s="251"/>
      <c r="K14" s="896" t="s">
        <v>134</v>
      </c>
      <c r="L14" s="881">
        <f>J11-J5</f>
        <v>69922.790000000008</v>
      </c>
    </row>
    <row r="15" spans="1:12">
      <c r="A15" s="870"/>
      <c r="B15" s="258"/>
      <c r="D15" s="215"/>
      <c r="E15" s="210"/>
      <c r="F15" s="258"/>
      <c r="G15" s="193"/>
      <c r="H15" s="880"/>
      <c r="I15" s="251"/>
      <c r="K15" s="896" t="s">
        <v>135</v>
      </c>
      <c r="L15" s="882">
        <f>J11-J6</f>
        <v>203095.24000000002</v>
      </c>
    </row>
    <row r="16" spans="1:12">
      <c r="A16" s="870"/>
      <c r="B16" s="258"/>
      <c r="D16" s="215"/>
      <c r="G16" s="896" t="s">
        <v>134</v>
      </c>
      <c r="H16" s="881">
        <f>F11-F5</f>
        <v>58956.450000000012</v>
      </c>
      <c r="I16" s="251"/>
      <c r="K16" s="896" t="s">
        <v>136</v>
      </c>
      <c r="L16" s="882">
        <f>J11-J7</f>
        <v>239657.39</v>
      </c>
    </row>
    <row r="17" spans="1:12">
      <c r="A17" s="210"/>
      <c r="B17" s="258"/>
      <c r="D17" s="215"/>
      <c r="G17" s="896" t="s">
        <v>135</v>
      </c>
      <c r="H17" s="881">
        <f>F11-F6</f>
        <v>82074.290000000008</v>
      </c>
      <c r="I17" s="251"/>
      <c r="K17" s="896" t="s">
        <v>138</v>
      </c>
      <c r="L17" s="881">
        <f>J11-J8</f>
        <v>80545.74000000002</v>
      </c>
    </row>
    <row r="18" spans="1:12">
      <c r="C18" s="211" t="s">
        <v>134</v>
      </c>
      <c r="D18" s="875">
        <f>B11-B5</f>
        <v>22662.48000000001</v>
      </c>
      <c r="G18" s="896" t="s">
        <v>136</v>
      </c>
      <c r="H18" s="882">
        <f>F11-F7</f>
        <v>232363.7</v>
      </c>
      <c r="I18" s="251"/>
      <c r="K18" s="896" t="s">
        <v>139</v>
      </c>
      <c r="L18" s="883">
        <f>J11-J9</f>
        <v>84313.1</v>
      </c>
    </row>
    <row r="19" spans="1:12">
      <c r="C19" s="211" t="s">
        <v>135</v>
      </c>
      <c r="D19" s="875">
        <f>B11-B6</f>
        <v>8034.3500000000058</v>
      </c>
      <c r="G19" s="896" t="s">
        <v>138</v>
      </c>
      <c r="H19" s="882">
        <f>F11-F8</f>
        <v>106648.32000000001</v>
      </c>
      <c r="I19" s="251"/>
      <c r="K19" s="894" t="s">
        <v>140</v>
      </c>
      <c r="L19" s="884">
        <f>J11-J10</f>
        <v>49236.100000000006</v>
      </c>
    </row>
    <row r="20" spans="1:12">
      <c r="C20" s="211" t="s">
        <v>136</v>
      </c>
      <c r="D20" s="876">
        <f>B11-B7</f>
        <v>152047.72</v>
      </c>
      <c r="E20" s="226"/>
      <c r="G20" s="896" t="s">
        <v>139</v>
      </c>
      <c r="H20" s="883">
        <f>F11-F9</f>
        <v>103288.94000000002</v>
      </c>
      <c r="I20" s="251"/>
      <c r="K20" s="895" t="s">
        <v>490</v>
      </c>
      <c r="L20" s="886">
        <f>J12-J11</f>
        <v>-165197.17000000001</v>
      </c>
    </row>
    <row r="21" spans="1:12">
      <c r="C21" s="211" t="s">
        <v>138</v>
      </c>
      <c r="D21" s="876">
        <f>B11-B8</f>
        <v>79522.490000000005</v>
      </c>
      <c r="E21" s="226"/>
      <c r="G21" s="894" t="s">
        <v>140</v>
      </c>
      <c r="H21" s="884">
        <f>F11-F10</f>
        <v>54477.830000000016</v>
      </c>
      <c r="I21" s="251"/>
      <c r="L21" s="215"/>
    </row>
    <row r="22" spans="1:12">
      <c r="C22" s="211" t="s">
        <v>139</v>
      </c>
      <c r="D22" s="876">
        <f>B11-B9</f>
        <v>41792.33</v>
      </c>
      <c r="E22" s="226"/>
      <c r="G22" s="895" t="s">
        <v>490</v>
      </c>
      <c r="H22" s="887">
        <f>F12-F11</f>
        <v>-157547.12</v>
      </c>
      <c r="I22" s="251"/>
      <c r="L22" s="215"/>
    </row>
    <row r="23" spans="1:12">
      <c r="C23" s="212" t="s">
        <v>140</v>
      </c>
      <c r="D23" s="876">
        <f>B11-B10</f>
        <v>-18739.979999999981</v>
      </c>
      <c r="E23" s="226"/>
      <c r="H23" s="215"/>
      <c r="I23" s="251"/>
      <c r="L23" s="215"/>
    </row>
    <row r="24" spans="1:12">
      <c r="C24" s="871" t="s">
        <v>490</v>
      </c>
      <c r="D24" s="877">
        <f>B12-B11</f>
        <v>-276.21000000002095</v>
      </c>
      <c r="E24" s="226"/>
      <c r="H24" s="215"/>
      <c r="I24" s="251"/>
      <c r="L24" s="215"/>
    </row>
    <row r="25" spans="1:12">
      <c r="E25" s="251"/>
      <c r="H25" s="215"/>
      <c r="I25" s="251"/>
      <c r="L25" s="215"/>
    </row>
    <row r="26" spans="1:12">
      <c r="D26" s="215"/>
      <c r="E26" s="251"/>
      <c r="H26" s="215"/>
      <c r="I26" s="251"/>
      <c r="L26" s="215"/>
    </row>
    <row r="27" spans="1:12">
      <c r="D27" s="215"/>
      <c r="E27" s="251"/>
      <c r="H27" s="215"/>
      <c r="I27" s="251"/>
      <c r="L27" s="215"/>
    </row>
    <row r="28" spans="1:12" ht="15.75" thickBot="1">
      <c r="A28" s="214"/>
      <c r="B28" s="214"/>
      <c r="C28" s="214"/>
      <c r="D28" s="222"/>
      <c r="E28" s="878"/>
      <c r="F28" s="214"/>
      <c r="G28" s="214"/>
      <c r="H28" s="222"/>
      <c r="I28" s="878"/>
      <c r="J28" s="214"/>
      <c r="K28" s="214"/>
      <c r="L28" s="222"/>
    </row>
    <row r="29" spans="1:12">
      <c r="A29" s="905"/>
      <c r="B29" s="905"/>
      <c r="C29" s="905"/>
      <c r="D29" s="906"/>
      <c r="E29" s="907"/>
      <c r="F29" s="905"/>
      <c r="G29" s="905"/>
      <c r="H29" s="906"/>
      <c r="I29" s="905"/>
      <c r="J29" s="905"/>
      <c r="K29" s="905"/>
      <c r="L29" s="906"/>
    </row>
    <row r="30" spans="1:12">
      <c r="D30" s="215"/>
      <c r="E30" s="251"/>
      <c r="H30" s="215"/>
      <c r="L30" s="215"/>
    </row>
    <row r="31" spans="1:12">
      <c r="A31" s="301" t="s">
        <v>116</v>
      </c>
      <c r="B31" s="302"/>
      <c r="D31" s="215"/>
      <c r="E31" s="303" t="s">
        <v>116</v>
      </c>
      <c r="F31" s="304"/>
      <c r="H31" s="215"/>
      <c r="I31" s="310" t="s">
        <v>116</v>
      </c>
      <c r="J31" s="308"/>
      <c r="L31" s="215"/>
    </row>
    <row r="32" spans="1:12">
      <c r="A32" s="302"/>
      <c r="B32" s="301" t="s">
        <v>254</v>
      </c>
      <c r="D32" s="215"/>
      <c r="E32" s="305"/>
      <c r="F32" s="306" t="s">
        <v>257</v>
      </c>
      <c r="H32" s="215"/>
      <c r="I32" s="308"/>
      <c r="J32" s="310" t="s">
        <v>259</v>
      </c>
      <c r="L32" s="215"/>
    </row>
    <row r="33" spans="1:12">
      <c r="D33" s="215"/>
      <c r="E33" s="226"/>
      <c r="H33" s="215"/>
      <c r="L33" s="215"/>
    </row>
    <row r="34" spans="1:12">
      <c r="D34" s="215"/>
      <c r="E34" s="226"/>
      <c r="H34" s="215"/>
      <c r="L34" s="215"/>
    </row>
    <row r="35" spans="1:12">
      <c r="A35" s="867" t="s">
        <v>120</v>
      </c>
      <c r="B35" s="268">
        <v>207374.61</v>
      </c>
      <c r="C35" s="269"/>
      <c r="D35" s="873"/>
      <c r="E35" s="888" t="s">
        <v>120</v>
      </c>
      <c r="F35" s="187">
        <v>250953</v>
      </c>
      <c r="G35" s="273"/>
      <c r="H35" s="873"/>
      <c r="I35" s="867" t="s">
        <v>120</v>
      </c>
      <c r="J35" s="187">
        <v>248371.84</v>
      </c>
      <c r="K35" s="273"/>
      <c r="L35" s="873"/>
    </row>
    <row r="36" spans="1:12">
      <c r="A36" s="868" t="s">
        <v>122</v>
      </c>
      <c r="B36" s="270">
        <v>-139.02000000000001</v>
      </c>
      <c r="C36" s="271"/>
      <c r="D36" s="873"/>
      <c r="E36" s="889" t="s">
        <v>122</v>
      </c>
      <c r="F36" s="190">
        <v>-86.82</v>
      </c>
      <c r="G36" s="271"/>
      <c r="H36" s="873"/>
      <c r="I36" s="868" t="s">
        <v>122</v>
      </c>
      <c r="J36" s="190">
        <v>-73.66</v>
      </c>
      <c r="K36" s="271"/>
      <c r="L36" s="873"/>
    </row>
    <row r="37" spans="1:12">
      <c r="A37" s="869" t="s">
        <v>124</v>
      </c>
      <c r="B37" s="272">
        <v>-88.69</v>
      </c>
      <c r="C37" s="232"/>
      <c r="D37" s="215"/>
      <c r="E37" s="890" t="s">
        <v>124</v>
      </c>
      <c r="F37" s="192">
        <v>25315.87</v>
      </c>
      <c r="G37" s="232"/>
      <c r="H37" s="215"/>
      <c r="I37" s="869" t="s">
        <v>124</v>
      </c>
      <c r="J37" s="192">
        <v>129243.96</v>
      </c>
      <c r="K37" s="232"/>
      <c r="L37" s="215"/>
    </row>
    <row r="38" spans="1:12">
      <c r="A38" s="867" t="s">
        <v>126</v>
      </c>
      <c r="B38" s="268">
        <v>230810.3</v>
      </c>
      <c r="C38" s="273"/>
      <c r="D38" s="874"/>
      <c r="E38" s="888" t="s">
        <v>126</v>
      </c>
      <c r="F38" s="187">
        <v>211881.72</v>
      </c>
      <c r="G38" s="273"/>
      <c r="H38" s="874"/>
      <c r="I38" s="867" t="s">
        <v>126</v>
      </c>
      <c r="J38" s="187">
        <v>268725.53999999998</v>
      </c>
      <c r="K38" s="273"/>
      <c r="L38" s="874"/>
    </row>
    <row r="39" spans="1:12">
      <c r="A39" s="241" t="s">
        <v>128</v>
      </c>
      <c r="B39" s="234">
        <v>258008.25</v>
      </c>
      <c r="D39" s="215"/>
      <c r="E39" s="891" t="s">
        <v>128</v>
      </c>
      <c r="F39" s="195">
        <v>311334.7</v>
      </c>
      <c r="H39" s="215"/>
      <c r="I39" s="241" t="s">
        <v>128</v>
      </c>
      <c r="J39" s="195">
        <v>373140.06</v>
      </c>
      <c r="L39" s="215"/>
    </row>
    <row r="40" spans="1:12">
      <c r="A40" s="240" t="s">
        <v>130</v>
      </c>
      <c r="B40" s="274">
        <v>212919.29</v>
      </c>
      <c r="D40" s="215"/>
      <c r="E40" s="240" t="s">
        <v>130</v>
      </c>
      <c r="F40" s="197">
        <v>434379.94</v>
      </c>
      <c r="H40" s="215"/>
      <c r="I40" s="240" t="s">
        <v>130</v>
      </c>
      <c r="J40" s="197">
        <v>400695.99</v>
      </c>
      <c r="L40" s="215"/>
    </row>
    <row r="41" spans="1:12">
      <c r="A41" s="893" t="s">
        <v>132</v>
      </c>
      <c r="B41" s="362">
        <v>306233.03999999998</v>
      </c>
      <c r="D41" s="215"/>
      <c r="E41" s="893" t="s">
        <v>132</v>
      </c>
      <c r="F41" s="362">
        <v>378689.85</v>
      </c>
      <c r="H41" s="215"/>
      <c r="I41" s="866" t="s">
        <v>132</v>
      </c>
      <c r="J41" s="362">
        <v>389446.19</v>
      </c>
      <c r="L41" s="215"/>
    </row>
    <row r="42" spans="1:12">
      <c r="A42" s="870" t="s">
        <v>508</v>
      </c>
      <c r="B42" s="1187">
        <v>43691.06</v>
      </c>
      <c r="D42" s="215"/>
      <c r="E42" s="870" t="s">
        <v>508</v>
      </c>
      <c r="F42" s="1187">
        <v>145034.01</v>
      </c>
      <c r="H42" s="215"/>
      <c r="I42" s="870" t="s">
        <v>508</v>
      </c>
      <c r="J42" s="1186">
        <v>151286.32</v>
      </c>
      <c r="L42" s="215"/>
    </row>
    <row r="43" spans="1:12">
      <c r="A43" s="866"/>
      <c r="B43" s="362"/>
      <c r="D43" s="215"/>
      <c r="E43" s="210"/>
      <c r="F43" s="362"/>
      <c r="H43" s="215"/>
      <c r="L43" s="215"/>
    </row>
    <row r="44" spans="1:12">
      <c r="A44" s="870"/>
      <c r="B44" s="362"/>
      <c r="D44" s="215"/>
      <c r="E44" s="226"/>
      <c r="H44" s="215"/>
      <c r="L44" s="215"/>
    </row>
    <row r="45" spans="1:12">
      <c r="A45" s="210"/>
      <c r="B45" s="362"/>
      <c r="D45" s="215"/>
      <c r="E45" s="226"/>
      <c r="F45" s="275"/>
      <c r="G45" s="896" t="s">
        <v>134</v>
      </c>
      <c r="H45" s="909">
        <f>F41-F35</f>
        <v>127736.84999999998</v>
      </c>
      <c r="L45" s="215"/>
    </row>
    <row r="46" spans="1:12">
      <c r="D46" s="215"/>
      <c r="F46" s="275"/>
      <c r="G46" s="896" t="s">
        <v>135</v>
      </c>
      <c r="H46" s="909">
        <f>F41-F36</f>
        <v>378776.67</v>
      </c>
      <c r="J46" s="275"/>
      <c r="K46" s="896" t="s">
        <v>134</v>
      </c>
      <c r="L46" s="908">
        <f>J41-J35</f>
        <v>141074.35</v>
      </c>
    </row>
    <row r="47" spans="1:12">
      <c r="A47" s="226"/>
      <c r="C47" s="896" t="s">
        <v>134</v>
      </c>
      <c r="D47" s="882">
        <f>B41-B35</f>
        <v>98858.43</v>
      </c>
      <c r="F47" s="275"/>
      <c r="G47" s="896" t="s">
        <v>136</v>
      </c>
      <c r="H47" s="909">
        <f>F41-F37</f>
        <v>353373.98</v>
      </c>
      <c r="J47" s="275"/>
      <c r="K47" s="896" t="s">
        <v>135</v>
      </c>
      <c r="L47" s="908">
        <f>J41-J36</f>
        <v>389519.85</v>
      </c>
    </row>
    <row r="48" spans="1:12">
      <c r="A48" s="226"/>
      <c r="C48" s="896" t="s">
        <v>135</v>
      </c>
      <c r="D48" s="882">
        <f>B41-B36</f>
        <v>306372.06</v>
      </c>
      <c r="F48" s="275"/>
      <c r="G48" s="896" t="s">
        <v>138</v>
      </c>
      <c r="H48" s="909">
        <f>F41-F38</f>
        <v>166808.12999999998</v>
      </c>
      <c r="J48" s="275"/>
      <c r="K48" s="896" t="s">
        <v>136</v>
      </c>
      <c r="L48" s="908">
        <f>J41-J37</f>
        <v>260202.22999999998</v>
      </c>
    </row>
    <row r="49" spans="1:12">
      <c r="A49" s="226"/>
      <c r="C49" s="896" t="s">
        <v>136</v>
      </c>
      <c r="D49" s="882">
        <f>B41-B37</f>
        <v>306321.73</v>
      </c>
      <c r="F49" s="275"/>
      <c r="G49" s="896" t="s">
        <v>139</v>
      </c>
      <c r="H49" s="910">
        <f>F41-F39</f>
        <v>67355.149999999965</v>
      </c>
      <c r="J49" s="275"/>
      <c r="K49" s="896" t="s">
        <v>138</v>
      </c>
      <c r="L49" s="908">
        <f>J41-J38</f>
        <v>120720.65000000002</v>
      </c>
    </row>
    <row r="50" spans="1:12">
      <c r="C50" s="896" t="s">
        <v>138</v>
      </c>
      <c r="D50" s="876">
        <f>B41-B38</f>
        <v>75422.739999999991</v>
      </c>
      <c r="G50" s="212" t="s">
        <v>140</v>
      </c>
      <c r="H50" s="911">
        <f>F41-F40</f>
        <v>-55690.090000000026</v>
      </c>
      <c r="J50" s="275"/>
      <c r="K50" s="896" t="s">
        <v>139</v>
      </c>
      <c r="L50" s="908">
        <f>J41-J39</f>
        <v>16306.130000000005</v>
      </c>
    </row>
    <row r="51" spans="1:12">
      <c r="B51" s="275"/>
      <c r="C51" s="896" t="s">
        <v>139</v>
      </c>
      <c r="D51" s="500">
        <f>B41-B39</f>
        <v>48224.789999999979</v>
      </c>
      <c r="E51" s="251"/>
      <c r="G51" s="871" t="s">
        <v>490</v>
      </c>
      <c r="H51" s="887">
        <f>F42-F41</f>
        <v>-233655.83999999997</v>
      </c>
      <c r="K51" s="212" t="s">
        <v>140</v>
      </c>
      <c r="L51" s="908">
        <f>J41-J40</f>
        <v>-11249.799999999988</v>
      </c>
    </row>
    <row r="52" spans="1:12">
      <c r="C52" s="212" t="s">
        <v>140</v>
      </c>
      <c r="D52" s="500">
        <f>B41-B40</f>
        <v>93313.749999999971</v>
      </c>
      <c r="E52" s="251"/>
      <c r="H52" s="215"/>
      <c r="K52" s="871" t="s">
        <v>490</v>
      </c>
      <c r="L52" s="887">
        <f>J42-J41</f>
        <v>-238159.87</v>
      </c>
    </row>
    <row r="53" spans="1:12">
      <c r="C53" s="871" t="s">
        <v>490</v>
      </c>
      <c r="D53" s="887">
        <f>B42-B41</f>
        <v>-262541.98</v>
      </c>
      <c r="E53" s="251"/>
      <c r="H53" s="215"/>
      <c r="L53" s="215"/>
    </row>
    <row r="54" spans="1:12">
      <c r="D54" s="215"/>
      <c r="E54" s="251"/>
      <c r="H54" s="215"/>
      <c r="L54" s="215"/>
    </row>
    <row r="55" spans="1:12">
      <c r="D55" s="215"/>
      <c r="E55" s="251"/>
      <c r="H55" s="215"/>
      <c r="L55" s="215"/>
    </row>
    <row r="56" spans="1:12" ht="15.75" thickBot="1">
      <c r="A56" s="214"/>
      <c r="B56" s="214"/>
      <c r="C56" s="214"/>
      <c r="D56" s="222"/>
      <c r="E56" s="878"/>
      <c r="F56" s="214"/>
      <c r="G56" s="214"/>
      <c r="H56" s="222"/>
      <c r="I56" s="214"/>
      <c r="J56" s="214"/>
      <c r="K56" s="214"/>
      <c r="L56" s="222"/>
    </row>
    <row r="57" spans="1:12">
      <c r="D57" s="906"/>
      <c r="E57" s="907"/>
      <c r="F57" s="905"/>
      <c r="G57" s="905"/>
      <c r="H57" s="906"/>
      <c r="I57" s="907"/>
      <c r="J57" s="905"/>
      <c r="K57" s="905"/>
      <c r="L57" s="906"/>
    </row>
    <row r="58" spans="1:12">
      <c r="D58" s="215"/>
      <c r="E58" s="251"/>
      <c r="H58" s="215"/>
      <c r="I58" s="251"/>
      <c r="L58" s="1034"/>
    </row>
    <row r="59" spans="1:12">
      <c r="A59" s="311" t="s">
        <v>116</v>
      </c>
      <c r="B59" s="312"/>
      <c r="C59" s="313"/>
      <c r="D59" s="215"/>
      <c r="E59" s="266" t="s">
        <v>116</v>
      </c>
      <c r="F59" s="175"/>
      <c r="I59" s="266" t="s">
        <v>116</v>
      </c>
      <c r="J59" s="175"/>
      <c r="L59" s="1034"/>
    </row>
    <row r="60" spans="1:12">
      <c r="A60" s="314"/>
      <c r="B60" s="315" t="s">
        <v>342</v>
      </c>
      <c r="C60" s="313"/>
      <c r="D60" s="215"/>
      <c r="E60" s="267"/>
      <c r="F60" s="176" t="s">
        <v>344</v>
      </c>
      <c r="I60" s="267"/>
      <c r="J60" s="176" t="s">
        <v>346</v>
      </c>
      <c r="L60" s="1034"/>
    </row>
    <row r="61" spans="1:12">
      <c r="A61" s="226"/>
      <c r="D61" s="215"/>
      <c r="E61" s="226"/>
      <c r="I61" s="226"/>
      <c r="L61" s="1034"/>
    </row>
    <row r="62" spans="1:12">
      <c r="A62" s="226"/>
      <c r="D62" s="215"/>
      <c r="E62" s="226"/>
      <c r="I62" s="226"/>
      <c r="L62" s="1034"/>
    </row>
    <row r="63" spans="1:12">
      <c r="A63" s="888" t="s">
        <v>120</v>
      </c>
      <c r="B63" s="268">
        <v>334341.52</v>
      </c>
      <c r="C63" s="269"/>
      <c r="D63" s="215"/>
      <c r="E63" s="246" t="s">
        <v>120</v>
      </c>
      <c r="F63" s="938">
        <v>384151.59</v>
      </c>
      <c r="G63" s="273"/>
      <c r="H63" s="188"/>
      <c r="I63" s="246" t="s">
        <v>120</v>
      </c>
      <c r="J63" s="938">
        <v>311327.69</v>
      </c>
      <c r="K63" s="273"/>
      <c r="L63" s="1059"/>
    </row>
    <row r="64" spans="1:12">
      <c r="A64" s="889" t="s">
        <v>122</v>
      </c>
      <c r="B64" s="270">
        <v>0</v>
      </c>
      <c r="C64" s="271"/>
      <c r="D64" s="215"/>
      <c r="E64" s="247" t="s">
        <v>122</v>
      </c>
      <c r="F64" s="939">
        <v>301.14999999999998</v>
      </c>
      <c r="G64" s="271"/>
      <c r="H64" s="188"/>
      <c r="I64" s="247" t="s">
        <v>122</v>
      </c>
      <c r="J64" s="939">
        <v>53667.02</v>
      </c>
      <c r="K64" s="271"/>
      <c r="L64" s="1059"/>
    </row>
    <row r="65" spans="1:12">
      <c r="A65" s="890" t="s">
        <v>124</v>
      </c>
      <c r="B65" s="272">
        <v>207815.56</v>
      </c>
      <c r="C65" s="232"/>
      <c r="D65" s="215"/>
      <c r="E65" s="248" t="s">
        <v>124</v>
      </c>
      <c r="F65" s="940">
        <v>441672.87</v>
      </c>
      <c r="G65" s="232"/>
      <c r="I65" s="248" t="s">
        <v>124</v>
      </c>
      <c r="J65" s="940">
        <v>224735.34</v>
      </c>
      <c r="K65" s="232"/>
      <c r="L65" s="1034"/>
    </row>
    <row r="66" spans="1:12">
      <c r="A66" s="888" t="s">
        <v>126</v>
      </c>
      <c r="B66" s="268">
        <v>405252.7</v>
      </c>
      <c r="C66" s="273"/>
      <c r="D66" s="215"/>
      <c r="E66" s="246" t="s">
        <v>126</v>
      </c>
      <c r="F66" s="938">
        <v>557254.30000000005</v>
      </c>
      <c r="G66" s="273"/>
      <c r="H66" s="193"/>
      <c r="I66" s="246" t="s">
        <v>126</v>
      </c>
      <c r="J66" s="938">
        <v>321299.26</v>
      </c>
      <c r="K66" s="273"/>
      <c r="L66" s="1060"/>
    </row>
    <row r="67" spans="1:12">
      <c r="A67" s="891" t="s">
        <v>128</v>
      </c>
      <c r="B67" s="234">
        <v>440653.14</v>
      </c>
      <c r="D67" s="215"/>
      <c r="E67" s="249" t="s">
        <v>128</v>
      </c>
      <c r="F67" s="941">
        <v>567146.59</v>
      </c>
      <c r="I67" s="249" t="s">
        <v>128</v>
      </c>
      <c r="J67" s="943">
        <v>370046.42</v>
      </c>
      <c r="L67" s="1034"/>
    </row>
    <row r="68" spans="1:12">
      <c r="A68" s="892" t="s">
        <v>130</v>
      </c>
      <c r="B68" s="274">
        <v>455763.23</v>
      </c>
      <c r="D68" s="215"/>
      <c r="E68" s="252" t="s">
        <v>130</v>
      </c>
      <c r="F68" s="942">
        <v>564930.53</v>
      </c>
      <c r="I68" s="252" t="s">
        <v>130</v>
      </c>
      <c r="J68" s="942">
        <v>386133.59</v>
      </c>
      <c r="L68" s="1034"/>
    </row>
    <row r="69" spans="1:12" ht="15.75">
      <c r="A69" s="893" t="s">
        <v>132</v>
      </c>
      <c r="B69" s="546">
        <v>520166.03</v>
      </c>
      <c r="D69" s="215"/>
      <c r="E69" s="253" t="s">
        <v>132</v>
      </c>
      <c r="F69" s="937">
        <v>589628.93000000005</v>
      </c>
      <c r="I69" s="253" t="s">
        <v>132</v>
      </c>
      <c r="J69" s="937">
        <v>443673.96</v>
      </c>
      <c r="L69" s="1034"/>
    </row>
    <row r="70" spans="1:12" ht="15.75">
      <c r="A70" s="870" t="s">
        <v>508</v>
      </c>
      <c r="B70" s="1189">
        <v>22459.68</v>
      </c>
      <c r="D70" s="215"/>
      <c r="E70" s="1061" t="s">
        <v>508</v>
      </c>
      <c r="F70" s="1186">
        <v>24140.25</v>
      </c>
      <c r="I70" s="1063" t="s">
        <v>508</v>
      </c>
      <c r="J70" s="1186">
        <v>103915.04</v>
      </c>
      <c r="L70" s="1034"/>
    </row>
    <row r="71" spans="1:12">
      <c r="A71" s="251"/>
      <c r="D71" s="215"/>
      <c r="E71" s="226"/>
      <c r="F71" s="198" t="s">
        <v>134</v>
      </c>
      <c r="G71" s="293">
        <f>F69-F63</f>
        <v>205477.34000000003</v>
      </c>
      <c r="I71" s="251"/>
      <c r="J71" s="198" t="s">
        <v>134</v>
      </c>
      <c r="K71" s="293">
        <f>J69-J63</f>
        <v>132346.27000000002</v>
      </c>
      <c r="L71" s="1034"/>
    </row>
    <row r="72" spans="1:12">
      <c r="A72" s="251"/>
      <c r="D72" s="215"/>
      <c r="E72" s="226"/>
      <c r="F72" s="198" t="s">
        <v>135</v>
      </c>
      <c r="G72" s="293">
        <f>F69-F64</f>
        <v>589327.78</v>
      </c>
      <c r="I72" s="251"/>
      <c r="J72" s="198" t="s">
        <v>135</v>
      </c>
      <c r="K72" s="293">
        <f>J69-J64</f>
        <v>390006.94</v>
      </c>
      <c r="L72" s="1034"/>
    </row>
    <row r="73" spans="1:12">
      <c r="A73" s="300"/>
      <c r="B73" s="211" t="s">
        <v>134</v>
      </c>
      <c r="C73" s="293">
        <f>B69-B63</f>
        <v>185824.51</v>
      </c>
      <c r="D73" s="215"/>
      <c r="E73" s="226"/>
      <c r="F73" s="198" t="s">
        <v>136</v>
      </c>
      <c r="G73" s="293">
        <f>F69-F65</f>
        <v>147956.06000000006</v>
      </c>
      <c r="I73" s="251"/>
      <c r="J73" s="198" t="s">
        <v>136</v>
      </c>
      <c r="K73" s="293">
        <f>J69-J65</f>
        <v>218938.62000000002</v>
      </c>
      <c r="L73" s="1034"/>
    </row>
    <row r="74" spans="1:12">
      <c r="A74" s="300"/>
      <c r="B74" s="211" t="s">
        <v>135</v>
      </c>
      <c r="C74" s="293">
        <f>B69-B64</f>
        <v>520166.03</v>
      </c>
      <c r="D74" s="215"/>
      <c r="E74" s="226"/>
      <c r="F74" s="198" t="s">
        <v>138</v>
      </c>
      <c r="G74" s="195">
        <f>F69-F66</f>
        <v>32374.630000000005</v>
      </c>
      <c r="I74" s="251"/>
      <c r="J74" s="198" t="s">
        <v>138</v>
      </c>
      <c r="K74" s="195">
        <f>J69-J66</f>
        <v>122374.70000000001</v>
      </c>
      <c r="L74" s="1034"/>
    </row>
    <row r="75" spans="1:12">
      <c r="A75" s="300"/>
      <c r="B75" s="211" t="s">
        <v>136</v>
      </c>
      <c r="C75" s="293">
        <f>B69-B65</f>
        <v>312350.47000000003</v>
      </c>
      <c r="D75" s="215"/>
      <c r="E75" s="226"/>
      <c r="F75" s="198" t="s">
        <v>139</v>
      </c>
      <c r="G75" s="500">
        <f>F69-F67</f>
        <v>22482.340000000084</v>
      </c>
      <c r="I75" s="251"/>
      <c r="J75" s="198" t="s">
        <v>139</v>
      </c>
      <c r="K75" s="235">
        <f>J69-J67</f>
        <v>73627.540000000037</v>
      </c>
      <c r="L75" s="1034"/>
    </row>
    <row r="76" spans="1:12">
      <c r="A76" s="300"/>
      <c r="B76" s="211" t="s">
        <v>138</v>
      </c>
      <c r="C76" s="195">
        <f>B69-B66</f>
        <v>114913.33000000002</v>
      </c>
      <c r="D76" s="215"/>
      <c r="E76" s="226"/>
      <c r="F76" s="212" t="s">
        <v>140</v>
      </c>
      <c r="G76" s="500">
        <f>F69-F68</f>
        <v>24698.400000000023</v>
      </c>
      <c r="I76" s="322"/>
      <c r="J76" s="212" t="s">
        <v>140</v>
      </c>
      <c r="K76" s="235">
        <f>J69-J68</f>
        <v>57540.369999999995</v>
      </c>
      <c r="L76" s="1034"/>
    </row>
    <row r="77" spans="1:12">
      <c r="A77" s="300"/>
      <c r="B77" s="211" t="s">
        <v>139</v>
      </c>
      <c r="C77" s="235">
        <f>B69-B67</f>
        <v>79512.890000000014</v>
      </c>
      <c r="D77" s="215"/>
      <c r="E77" s="251"/>
      <c r="F77" s="871" t="s">
        <v>490</v>
      </c>
      <c r="G77" s="1062">
        <f>F70-F69</f>
        <v>-565488.68000000005</v>
      </c>
      <c r="H77" s="215"/>
      <c r="I77" s="251"/>
      <c r="J77" s="871" t="s">
        <v>490</v>
      </c>
      <c r="K77" s="1062">
        <f>J70-J69</f>
        <v>-339758.92000000004</v>
      </c>
      <c r="L77" s="1034"/>
    </row>
    <row r="78" spans="1:12">
      <c r="A78" s="251"/>
      <c r="B78" s="212" t="s">
        <v>140</v>
      </c>
      <c r="C78" s="235">
        <f>B69-B68</f>
        <v>64402.800000000047</v>
      </c>
      <c r="D78" s="215"/>
      <c r="E78" s="251"/>
      <c r="H78" s="215"/>
      <c r="I78" s="251"/>
      <c r="L78" s="215"/>
    </row>
    <row r="79" spans="1:12">
      <c r="B79" s="871" t="s">
        <v>490</v>
      </c>
      <c r="C79" s="872">
        <f>B70-B69</f>
        <v>-497706.35000000003</v>
      </c>
      <c r="D79" s="215"/>
      <c r="E79" s="251"/>
      <c r="H79" s="215"/>
      <c r="I79" s="251"/>
      <c r="L79" s="215"/>
    </row>
    <row r="80" spans="1:12">
      <c r="D80" s="215"/>
      <c r="E80" s="251"/>
      <c r="H80" s="215"/>
      <c r="I80" s="251"/>
      <c r="L80" s="215"/>
    </row>
    <row r="81" spans="1:12" ht="15.75" thickBot="1">
      <c r="A81" s="214"/>
      <c r="B81" s="214"/>
      <c r="C81" s="214"/>
      <c r="D81" s="222"/>
      <c r="E81" s="878"/>
      <c r="F81" s="214"/>
      <c r="G81" s="214"/>
      <c r="H81" s="222"/>
      <c r="I81" s="878"/>
      <c r="J81" s="214"/>
      <c r="K81" s="214"/>
      <c r="L81" s="222"/>
    </row>
    <row r="82" spans="1:12">
      <c r="A82" s="905"/>
      <c r="B82" s="905"/>
      <c r="C82" s="905"/>
      <c r="D82" s="1120"/>
      <c r="E82" s="905"/>
      <c r="F82" s="905"/>
      <c r="G82" s="905"/>
      <c r="H82" s="1120"/>
      <c r="I82" s="905"/>
      <c r="J82" s="905"/>
      <c r="K82" s="905"/>
      <c r="L82" s="906"/>
    </row>
    <row r="83" spans="1:12">
      <c r="D83" s="1034"/>
      <c r="H83" s="1034"/>
      <c r="L83" s="215"/>
    </row>
    <row r="84" spans="1:12">
      <c r="A84" s="226"/>
      <c r="E84" s="226"/>
      <c r="H84" s="1034"/>
      <c r="L84" s="215"/>
    </row>
    <row r="85" spans="1:12">
      <c r="A85" s="266" t="s">
        <v>116</v>
      </c>
      <c r="B85" s="175"/>
      <c r="D85" s="1034"/>
      <c r="E85" s="266" t="s">
        <v>116</v>
      </c>
      <c r="F85" s="175"/>
      <c r="H85" s="1034"/>
      <c r="L85" s="215"/>
    </row>
    <row r="86" spans="1:12">
      <c r="A86" s="267"/>
      <c r="B86" s="176" t="s">
        <v>456</v>
      </c>
      <c r="D86" s="1034"/>
      <c r="E86" s="267"/>
      <c r="F86" s="176" t="s">
        <v>458</v>
      </c>
      <c r="H86" s="1034"/>
      <c r="L86" s="215"/>
    </row>
    <row r="87" spans="1:12">
      <c r="A87" s="226"/>
      <c r="D87" s="1034"/>
      <c r="E87" s="226"/>
      <c r="H87" s="1034"/>
      <c r="L87" s="215"/>
    </row>
    <row r="88" spans="1:12">
      <c r="A88" s="226"/>
      <c r="D88" s="1034"/>
      <c r="E88" s="226"/>
      <c r="H88" s="1034"/>
      <c r="L88" s="215"/>
    </row>
    <row r="89" spans="1:12">
      <c r="A89" s="246" t="s">
        <v>120</v>
      </c>
      <c r="B89" s="268">
        <v>301420.67</v>
      </c>
      <c r="C89" s="269"/>
      <c r="D89" s="1059"/>
      <c r="E89" s="246" t="s">
        <v>120</v>
      </c>
      <c r="F89" s="187">
        <v>202994.18</v>
      </c>
      <c r="G89" s="273"/>
      <c r="H89" s="1059"/>
      <c r="L89" s="215"/>
    </row>
    <row r="90" spans="1:12">
      <c r="A90" s="247" t="s">
        <v>122</v>
      </c>
      <c r="B90" s="270">
        <v>38282.86</v>
      </c>
      <c r="C90" s="271"/>
      <c r="D90" s="1059"/>
      <c r="E90" s="247" t="s">
        <v>122</v>
      </c>
      <c r="F90" s="190">
        <v>3322.4</v>
      </c>
      <c r="G90" s="271"/>
      <c r="H90" s="1059"/>
      <c r="L90" s="215"/>
    </row>
    <row r="91" spans="1:12">
      <c r="A91" s="248" t="s">
        <v>124</v>
      </c>
      <c r="B91" s="272">
        <v>227138.06</v>
      </c>
      <c r="C91" s="232"/>
      <c r="D91" s="1034"/>
      <c r="E91" s="248" t="s">
        <v>124</v>
      </c>
      <c r="F91" s="192">
        <v>215609.83</v>
      </c>
      <c r="G91" s="232"/>
      <c r="H91" s="1034"/>
      <c r="L91" s="215"/>
    </row>
    <row r="92" spans="1:12">
      <c r="A92" s="246" t="s">
        <v>126</v>
      </c>
      <c r="B92" s="268">
        <v>271775.34000000003</v>
      </c>
      <c r="C92" s="273"/>
      <c r="D92" s="1060"/>
      <c r="E92" s="246" t="s">
        <v>126</v>
      </c>
      <c r="F92" s="187">
        <v>273858.65999999997</v>
      </c>
      <c r="G92" s="273"/>
      <c r="H92" s="1060"/>
      <c r="L92" s="215"/>
    </row>
    <row r="93" spans="1:12">
      <c r="A93" s="249" t="s">
        <v>128</v>
      </c>
      <c r="B93" s="234">
        <v>358490.32</v>
      </c>
      <c r="D93" s="1034"/>
      <c r="E93" s="249" t="s">
        <v>128</v>
      </c>
      <c r="F93" s="195">
        <v>305965.53000000003</v>
      </c>
      <c r="H93" s="1034"/>
      <c r="L93" s="215"/>
    </row>
    <row r="94" spans="1:12">
      <c r="A94" s="252" t="s">
        <v>130</v>
      </c>
      <c r="B94" s="274">
        <v>322142.05</v>
      </c>
      <c r="D94" s="1034"/>
      <c r="E94" s="252" t="s">
        <v>130</v>
      </c>
      <c r="F94" s="274">
        <v>253845.66</v>
      </c>
      <c r="H94" s="1034"/>
      <c r="L94" s="215"/>
    </row>
    <row r="95" spans="1:12" ht="15.75">
      <c r="A95" s="253" t="s">
        <v>132</v>
      </c>
      <c r="B95" s="554">
        <v>395286.16</v>
      </c>
      <c r="D95" s="1034"/>
      <c r="E95" s="253" t="s">
        <v>132</v>
      </c>
      <c r="F95" s="555">
        <v>316199.25</v>
      </c>
      <c r="H95" s="1034"/>
      <c r="L95" s="215"/>
    </row>
    <row r="96" spans="1:12">
      <c r="A96" s="1061" t="s">
        <v>508</v>
      </c>
      <c r="B96" s="1186">
        <v>53590.79</v>
      </c>
      <c r="D96" s="1034"/>
      <c r="E96" s="1061" t="s">
        <v>508</v>
      </c>
      <c r="F96" t="s">
        <v>64</v>
      </c>
      <c r="H96" s="1034"/>
      <c r="L96" s="215"/>
    </row>
    <row r="97" spans="1:12">
      <c r="A97" s="226"/>
      <c r="B97" s="275"/>
      <c r="C97" s="198" t="s">
        <v>134</v>
      </c>
      <c r="D97" s="1121">
        <f>B95-B89</f>
        <v>93865.489999999991</v>
      </c>
      <c r="E97" s="226"/>
      <c r="F97" s="275"/>
      <c r="G97" s="198" t="s">
        <v>134</v>
      </c>
      <c r="H97" s="1121">
        <f>F95-F89</f>
        <v>113205.07</v>
      </c>
      <c r="L97" s="215"/>
    </row>
    <row r="98" spans="1:12">
      <c r="A98" s="226"/>
      <c r="B98" s="275"/>
      <c r="C98" s="198" t="s">
        <v>135</v>
      </c>
      <c r="D98" s="1121">
        <f>B95-B90</f>
        <v>357003.3</v>
      </c>
      <c r="E98" s="226"/>
      <c r="F98" s="275"/>
      <c r="G98" s="198" t="s">
        <v>135</v>
      </c>
      <c r="H98" s="1121">
        <f>F95-F90</f>
        <v>312876.84999999998</v>
      </c>
      <c r="L98" s="215"/>
    </row>
    <row r="99" spans="1:12">
      <c r="A99" s="226"/>
      <c r="B99" s="275"/>
      <c r="C99" s="198" t="s">
        <v>136</v>
      </c>
      <c r="D99" s="1121">
        <f>B95-B91</f>
        <v>168148.09999999998</v>
      </c>
      <c r="E99" s="226"/>
      <c r="F99" s="275"/>
      <c r="G99" s="198" t="s">
        <v>136</v>
      </c>
      <c r="H99" s="1121">
        <f>F95-F91</f>
        <v>100589.42000000001</v>
      </c>
      <c r="L99" s="215"/>
    </row>
    <row r="100" spans="1:12">
      <c r="A100" s="226"/>
      <c r="B100" s="275"/>
      <c r="C100" s="198" t="s">
        <v>138</v>
      </c>
      <c r="D100" s="1122">
        <f>B95-B92</f>
        <v>123510.81999999995</v>
      </c>
      <c r="E100" s="226"/>
      <c r="F100" s="275"/>
      <c r="G100" s="198" t="s">
        <v>138</v>
      </c>
      <c r="H100" s="1158">
        <f>F95-F92</f>
        <v>42340.590000000026</v>
      </c>
      <c r="L100" s="215"/>
    </row>
    <row r="101" spans="1:12">
      <c r="A101" s="226"/>
      <c r="B101" s="275"/>
      <c r="C101" s="198" t="s">
        <v>139</v>
      </c>
      <c r="D101" s="1123">
        <f>B95-B93</f>
        <v>36795.839999999967</v>
      </c>
      <c r="E101" s="226"/>
      <c r="F101" s="275"/>
      <c r="G101" s="198" t="s">
        <v>139</v>
      </c>
      <c r="H101" s="1123">
        <f>F95-F93</f>
        <v>10233.719999999972</v>
      </c>
      <c r="L101" s="215"/>
    </row>
    <row r="102" spans="1:12">
      <c r="A102" s="226"/>
      <c r="C102" s="212" t="s">
        <v>140</v>
      </c>
      <c r="D102" s="1123">
        <f>B95-B94</f>
        <v>73144.109999999986</v>
      </c>
      <c r="E102" s="226"/>
      <c r="G102" s="212" t="s">
        <v>140</v>
      </c>
      <c r="H102" s="1123">
        <f>F95-F94</f>
        <v>62353.59</v>
      </c>
      <c r="L102" s="215"/>
    </row>
    <row r="103" spans="1:12">
      <c r="A103" s="226"/>
      <c r="C103" s="871" t="s">
        <v>490</v>
      </c>
      <c r="D103" s="1124">
        <f>B96-B95</f>
        <v>-341695.37</v>
      </c>
      <c r="E103" s="226"/>
      <c r="G103" s="871" t="s">
        <v>490</v>
      </c>
      <c r="H103" s="1183" t="e">
        <f>F96-F95</f>
        <v>#VALUE!</v>
      </c>
      <c r="L103" s="215"/>
    </row>
    <row r="104" spans="1:12">
      <c r="A104" s="251"/>
      <c r="D104" s="1034"/>
      <c r="E104" s="226"/>
      <c r="G104" s="871"/>
      <c r="H104" s="1159"/>
      <c r="L104" s="215"/>
    </row>
    <row r="105" spans="1:12">
      <c r="D105" s="1034"/>
      <c r="H105" s="1034"/>
      <c r="L105" s="215"/>
    </row>
    <row r="106" spans="1:12">
      <c r="D106" s="1034"/>
      <c r="H106" s="215"/>
      <c r="I106" s="251"/>
      <c r="L106" s="215"/>
    </row>
    <row r="107" spans="1:12">
      <c r="D107" s="1034"/>
      <c r="H107" s="215"/>
      <c r="I107" s="251"/>
      <c r="L107" s="215"/>
    </row>
    <row r="108" spans="1:12" ht="15.75" thickBot="1">
      <c r="A108" s="214"/>
      <c r="B108" s="214"/>
      <c r="C108" s="214"/>
      <c r="D108" s="222"/>
      <c r="E108" s="878"/>
      <c r="F108" s="214"/>
      <c r="G108" s="214"/>
      <c r="H108" s="222"/>
      <c r="I108" s="878"/>
      <c r="J108" s="214"/>
      <c r="K108" s="214"/>
      <c r="L108" s="22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b359526-17c7-4604-89f2-c85804d6a88f}" enabled="0" method="" siteId="{8b359526-17c7-4604-89f2-c85804d6a88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2024-07-16T12:40:39Z</dcterms:created>
  <dcterms:modified xsi:type="dcterms:W3CDTF">2025-12-23T11:23:40Z</dcterms:modified>
  <cp:category/>
  <cp:contentStatus/>
</cp:coreProperties>
</file>